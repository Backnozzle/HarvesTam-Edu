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drawings/drawing4.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charts/chart2.xml" ContentType="application/vnd.openxmlformats-officedocument.drawingml.chart+xml"/>
  <Override PartName="/xl/drawings/drawing1.xml" ContentType="application/vnd.openxmlformats-officedocument.drawing+xml"/>
  <Override PartName="/xl/charts/chart3.xml" ContentType="application/vnd.openxmlformats-officedocument.drawingml.char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charts/chart4.xml" ContentType="application/vnd.openxmlformats-officedocument.drawingml.chart+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Sprint 0 " sheetId="1" state="visible" r:id="rId1"/>
    <sheet name="Sprint 1" sheetId="2" state="visible" r:id="rId2"/>
    <sheet name="Sprint 2" sheetId="3" state="visible" r:id="rId3"/>
    <sheet name="Sprint 3"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<sst xmlns="http://schemas.openxmlformats.org/spreadsheetml/2006/main" count="26" uniqueCount="26">
  <si>
    <t xml:space="preserve">Control del Sprint 0</t>
  </si>
  <si>
    <t xml:space="preserve">Historias de Usuario o Spike</t>
  </si>
  <si>
    <t xml:space="preserve">Horas estimadas</t>
  </si>
  <si>
    <t>DIA</t>
  </si>
  <si>
    <t>Total</t>
  </si>
  <si>
    <t xml:space="preserve">Como evaluador docente, necesito revisar el marco de definición, factibilidad y evidencias iniciales del proyecto, con la finalidad de validar el inicio formal de HarvesTam - Edu.
                </t>
  </si>
  <si>
    <t xml:space="preserve">Como equipo de desarrollo, necesito configurar el repositorio de control de versiones y los canales de gestión ágil, con la finalidad de asegurar la trazabilidad y colaboración del proyecto.
                        </t>
  </si>
  <si>
    <t xml:space="preserve">Reales de producto por realizar</t>
  </si>
  <si>
    <t xml:space="preserve">Estimadas de producto por realizar</t>
  </si>
  <si>
    <t xml:space="preserve">Control del Sprint 1</t>
  </si>
  <si>
    <t xml:space="preserve">horas estimadas</t>
  </si>
  <si>
    <t xml:space="preserve">Como equipo de desarrollo, necesitamos estructurar el Documento de Arquitectura de Software (DAS) con diagramas de alto y bajo nivel, con la finalidad de definir la interacción técnica entre la interfaz web, el backend, la API de inferencia y el modelo serializado previo a su construcción.
		</t>
  </si>
  <si>
    <t xml:space="preserve">Como equipo de desarrollo, necesitamos realizar un análisis exploratorio y un diagnóstico exhaustivo de calidad sobre los datos históricos del Tamarugo 	Con la finalidad de  para identificar inconsistencias, anomalías numéricas, distribuciones y variables clave asociadas a la carga frutal.
		</t>
  </si>
  <si>
    <t xml:space="preserve">Como equipo de desarrollo, necesitamos construir un pipeline de preprocesamiento para tratar nulos, depurar atípicos y normalizar variables, con la finalidad de generar un conjunto de datos limpio, consistente y apto para el entrenamiento de los algoritmos</t>
  </si>
  <si>
    <t xml:space="preserve">Control del Sprint 2</t>
  </si>
  <si>
    <t xml:space="preserve">Como equipo de desarrollo, necesito entrenar de forma comparativa diversos algoritmos de aprendizaje automático con el conjunto de datos limpio, con la finalidad de identificar qué modelo presenta la mejor capacidad de ajuste inicial para estimar la carga frutal del Tamarugo.</t>
  </si>
  <si>
    <t xml:space="preserve">Como equipo de desarrollo, necesito calcular y comparar las métricas de rendimiento sobre el conjunto de prueba independiente, con la finalidad de fundamentar con rigor matemático la elección del algoritmo final que se integrará en producción.</t>
  </si>
  <si>
    <t xml:space="preserve">Como equipo de desarrollo, necesito empaquetar y serializar el modelo seleccionado junto a sus transformaciones de preprocesamiento en un archivo persistente, con la finalidad de facilitar su posterior consumo y carga rápida dentro del backend de la plataforma web.</t>
  </si>
  <si>
    <t xml:space="preserve">Como evaluador docente, necesito revisar el informe de avance intermedio y los artefactos parciales de datos y experimentación, con la finalidad de certificar la continuidad operativa, el ritmo de los Sprints y la viabilidad técnica antes del cierre de la Fase 2.</t>
  </si>
  <si>
    <t xml:space="preserve">Control del Sprint 3</t>
  </si>
  <si>
    <t xml:space="preserve">Como usuario interesado, necesito una interfaz web clara con un formulario interactivo para el ingreso de variables del Tamarugo, con la finalidad de registrar los parámetros de campo de manera intuitiva y visualmente ordenada desde cualquier navegador.</t>
  </si>
  <si>
    <t xml:space="preserve">Como equipo de desarrollo, necesito implementar el backend y los endpoints de conexión que reciban los datos del formulario, carguen el modelo serializado y devuelvan la predicción, con la finalidad de habilitar la inferencia matemática automatizada entre la interfaz de usuario y el artefacto de Machine Learning.</t>
  </si>
  <si>
    <t xml:space="preserve">Como equipo de desarrollo, necesito desplegar la aplicación web completa en una plataforma de alojamiento accesible por internet, con la finalidad de que cualquier integrante de la comunidad u organismo ecológico pueda utilizar la herramienta sin requerir instalaciones locales.</t>
  </si>
  <si>
    <t xml:space="preserve">Como equipo de desarrollo, necesito realizar pruebas de integración extremo a extremo sobre el flujo completo de consulta web, con la finalidad de certificar la robustez del sistema, la coherencia de los resultados calculados y la usabilidad antes de la entrega final.</t>
  </si>
  <si>
    <t xml:space="preserve">Como evaluador docente, necesito examinar la solución integral terminada, el informe final consolidado y el código fuente documentado, con la finalidad de calificar el cumplimiento de las competencias del perfil de egreso y dar por aprobada la Fase 2 del proyecto de titulación.</t>
  </si>
  <si>
    <t xml:space="preserve">Como usuario interesado, necesito un botón en la interfaz para descargar o imprimir un comprobante en PDF con los parámetros ingresados y la carga frutal calculada, con la finalidad de disponer de un registro documental portátil que respalde la toma de decisiones ecológicas en terreno.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</si>
</sst>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6.000000"/>
      <color theme="1"/>
      <name val="Calibri"/>
    </font>
    <font>
      <sz val="11.000000"/>
      <color theme="1"/>
      <name val="Calibri"/>
    </font>
    <font/>
    <font>
      <color theme="1"/>
      <name val="Calibri"/>
      <scheme val="minor"/>
    </font>
  </fonts>
  <fills count="4">
    <fill>
      <patternFill patternType="none"/>
    </fill>
    <fill>
      <patternFill patternType="gray125"/>
    </fill>
    <fill>
      <patternFill patternType="solid">
        <fgColor rgb="FFEFEFEF"/>
        <bgColor rgb="FFEFEFEF"/>
      </patternFill>
    </fill>
    <fill>
      <patternFill patternType="solid">
        <fgColor rgb="FFD0CECE"/>
        <bgColor rgb="FFD0CECE"/>
      </patternFill>
    </fill>
  </fills>
  <borders count="16">
    <border>
      <left style="none"/>
      <right style="none"/>
      <top style="none"/>
      <bottom style="none"/>
      <diagonal style="none"/>
    </border>
    <border>
      <left style="thin">
        <color indexed="64"/>
      </left>
      <right style="thin">
        <color indexed="64"/>
      </right>
      <top style="thin">
        <color indexed="64"/>
      </top>
      <bottom style="none"/>
      <diagonal style="none"/>
    </border>
    <border>
      <left style="thin">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none"/>
      <bottom style="thin">
        <color indexed="64"/>
      </bottom>
      <diagonal style="none"/>
    </border>
    <border>
      <left style="thin">
        <color indexed="64"/>
      </left>
      <right style="thin">
        <color indexed="64"/>
      </right>
      <top style="none"/>
      <bottom style="none"/>
      <diagonal style="none"/>
    </border>
    <border>
      <left style="thin">
        <color indexed="64"/>
      </left>
      <right style="none"/>
      <top style="none"/>
      <bottom style="thin">
        <color indexed="64"/>
      </bottom>
      <diagonal style="none"/>
    </border>
    <border>
      <left style="thin">
        <color indexed="64"/>
      </left>
      <right style="none"/>
      <top style="thin">
        <color indexed="64"/>
      </top>
      <bottom style="none"/>
      <diagonal style="none"/>
    </border>
    <border>
      <left style="none"/>
      <right style="none"/>
      <top style="thin">
        <color indexed="64"/>
      </top>
      <bottom style="none"/>
      <diagonal style="none"/>
    </border>
    <border>
      <left style="none"/>
      <right style="thin">
        <color indexed="64"/>
      </right>
      <top style="thin">
        <color indexed="64"/>
      </top>
      <bottom style="none"/>
      <diagonal style="none"/>
    </border>
    <border>
      <left style="thin">
        <color indexed="64"/>
      </left>
      <right style="thin">
        <color indexed="64"/>
      </right>
      <top style="thin">
        <color indexed="64"/>
      </top>
      <bottom style="thin">
        <color indexed="64"/>
      </bottom>
      <diagonal style="none"/>
    </border>
    <border>
      <left style="none"/>
      <right style="none"/>
      <top style="none"/>
      <bottom style="thin">
        <color indexed="64"/>
      </bottom>
      <diagonal style="none"/>
    </border>
    <border>
      <left style="none"/>
      <right style="thin">
        <color indexed="64"/>
      </right>
      <top style="none"/>
      <bottom style="thin">
        <color indexed="64"/>
      </bottom>
      <diagonal style="none"/>
    </border>
    <border>
      <left style="thin">
        <color indexed="64"/>
      </left>
      <right style="none"/>
      <top style="none"/>
      <bottom style="none"/>
      <diagonal style="none"/>
    </border>
    <border>
      <left style="none"/>
      <right style="thin">
        <color indexed="64"/>
      </right>
      <top style="none"/>
      <bottom style="none"/>
      <diagonal style="none"/>
    </border>
  </borders>
  <cellStyleXfs count="1">
    <xf fontId="0" fillId="0" borderId="0" numFmtId="0" applyNumberFormat="1" applyFont="1" applyFill="1" applyBorder="1"/>
  </cellStyleXfs>
  <cellXfs count="56">
    <xf fontId="0" fillId="0" borderId="0" numFmtId="0" xfId="0" applyAlignment="1">
      <alignment readingOrder="0"/>
    </xf>
    <xf fontId="1" fillId="0" borderId="0" numFmtId="0" xfId="0" applyFont="1" applyAlignment="1">
      <alignment readingOrder="0"/>
    </xf>
    <xf fontId="2" fillId="0" borderId="1" numFmtId="0" xfId="0" applyFont="1" applyBorder="1" applyAlignment="1">
      <alignment horizontal="center" vertical="center"/>
    </xf>
    <xf fontId="2" fillId="0" borderId="1" numFmtId="0" xfId="0" applyFont="1" applyBorder="1" applyAlignment="1">
      <alignment horizontal="center" readingOrder="0" vertical="center"/>
    </xf>
    <xf fontId="2" fillId="0" borderId="2" numFmtId="0" xfId="0" applyFont="1" applyBorder="1" applyAlignment="1">
      <alignment horizontal="center"/>
    </xf>
    <xf fontId="3" fillId="0" borderId="3" numFmtId="0" xfId="0" applyFont="1" applyBorder="1"/>
    <xf fontId="3" fillId="0" borderId="4" numFmtId="0" xfId="0" applyFont="1" applyBorder="1"/>
    <xf fontId="3" fillId="0" borderId="5" numFmtId="0" xfId="0" applyFont="1" applyBorder="1"/>
    <xf fontId="2" fillId="0" borderId="1" numFmtId="0" xfId="0" applyFont="1" applyBorder="1"/>
    <xf fontId="3" fillId="0" borderId="6" numFmtId="0" xfId="0" applyFont="1" applyBorder="1"/>
    <xf fontId="2" fillId="2" borderId="5" numFmtId="0" xfId="0" applyFont="1" applyFill="1" applyBorder="1" applyAlignment="1">
      <alignment readingOrder="0" vertical="center" wrapText="1"/>
    </xf>
    <xf fontId="2" fillId="2" borderId="7" numFmtId="0" xfId="0" applyFont="1" applyFill="1" applyBorder="1" applyAlignment="1">
      <alignment horizontal="center" readingOrder="0" vertical="center" wrapText="1"/>
    </xf>
    <xf fontId="2" fillId="0" borderId="8" numFmtId="0" xfId="0" applyFont="1" applyBorder="1" applyAlignment="1">
      <alignment horizontal="center" readingOrder="0" vertical="center" wrapText="1"/>
    </xf>
    <xf fontId="2" fillId="0" borderId="9" numFmtId="0" xfId="0" applyFont="1" applyBorder="1" applyAlignment="1">
      <alignment horizontal="center" vertical="center" wrapText="1"/>
    </xf>
    <xf fontId="2" fillId="0" borderId="9" numFmtId="0" xfId="0" applyFont="1" applyBorder="1" applyAlignment="1">
      <alignment horizontal="center" readingOrder="0" vertical="center" wrapText="1"/>
    </xf>
    <xf fontId="2" fillId="0" borderId="10" numFmtId="0" xfId="0" applyFont="1" applyBorder="1" applyAlignment="1">
      <alignment horizontal="center" vertical="center" wrapText="1"/>
    </xf>
    <xf fontId="2" fillId="0" borderId="4" numFmtId="0" xfId="0" applyFont="1" applyBorder="1" applyAlignment="1">
      <alignment horizontal="center" vertical="center" wrapText="1"/>
    </xf>
    <xf fontId="2" fillId="2" borderId="11" numFmtId="0" xfId="0" applyFont="1" applyFill="1" applyBorder="1" applyAlignment="1">
      <alignment readingOrder="0" vertical="center" wrapText="1"/>
    </xf>
    <xf fontId="2" fillId="2" borderId="2" numFmtId="0" xfId="0" applyFont="1" applyFill="1" applyBorder="1" applyAlignment="1">
      <alignment horizontal="center" readingOrder="0" vertical="center" wrapText="1"/>
    </xf>
    <xf fontId="2" fillId="0" borderId="7" numFmtId="0" xfId="0" applyFont="1" applyBorder="1" applyAlignment="1">
      <alignment horizontal="center" readingOrder="0" vertical="center" wrapText="1"/>
    </xf>
    <xf fontId="2" fillId="0" borderId="12" numFmtId="0" xfId="0" applyFont="1" applyBorder="1" applyAlignment="1">
      <alignment horizontal="center" vertical="center" wrapText="1"/>
    </xf>
    <xf fontId="2" fillId="0" borderId="12" numFmtId="0" xfId="0" applyFont="1" applyBorder="1" applyAlignment="1">
      <alignment horizontal="center" readingOrder="0" vertical="center" wrapText="1"/>
    </xf>
    <xf fontId="2" fillId="0" borderId="13" numFmtId="0" xfId="0" applyFont="1" applyBorder="1" applyAlignment="1">
      <alignment horizontal="center" vertical="center" wrapText="1"/>
    </xf>
    <xf fontId="2" fillId="0" borderId="0" numFmtId="0" xfId="0" applyFont="1" applyAlignment="1">
      <alignment wrapText="1"/>
    </xf>
    <xf fontId="4" fillId="0" borderId="0" numFmtId="0" xfId="0" applyFont="1" applyAlignment="1">
      <alignment horizontal="center" vertical="center"/>
    </xf>
    <xf fontId="2" fillId="0" borderId="0" numFmtId="0" xfId="0" applyFont="1"/>
    <xf fontId="2" fillId="0" borderId="0" numFmtId="0" xfId="0" applyFont="1" applyAlignment="1">
      <alignment horizontal="center" wrapText="1"/>
    </xf>
    <xf fontId="2" fillId="0" borderId="2" numFmtId="0" xfId="0" applyFont="1" applyBorder="1" applyAlignment="1">
      <alignment horizontal="center" vertical="center"/>
    </xf>
    <xf fontId="2" fillId="0" borderId="1" numFmtId="0" xfId="0" applyFont="1" applyBorder="1" applyAlignment="1">
      <alignment horizontal="center"/>
    </xf>
    <xf fontId="2" fillId="0" borderId="11" numFmtId="0" xfId="0" applyFont="1" applyBorder="1" applyAlignment="1">
      <alignment readingOrder="0" vertical="center" wrapText="1"/>
    </xf>
    <xf fontId="2" fillId="0" borderId="2" numFmtId="0" xfId="0" applyFont="1" applyBorder="1" applyAlignment="1">
      <alignment horizontal="center" readingOrder="0" vertical="center" wrapText="1"/>
    </xf>
    <xf fontId="2" fillId="0" borderId="14" numFmtId="0" xfId="0" applyFont="1" applyBorder="1" applyAlignment="1">
      <alignment horizontal="center" vertical="center" wrapText="1"/>
    </xf>
    <xf fontId="2" fillId="0" borderId="0" numFmtId="0" xfId="0" applyFont="1" applyAlignment="1">
      <alignment horizontal="center" vertical="center" wrapText="1"/>
    </xf>
    <xf fontId="2" fillId="0" borderId="0" numFmtId="0" xfId="0" applyFont="1" applyAlignment="1">
      <alignment horizontal="center" readingOrder="0" vertical="center" wrapText="1"/>
    </xf>
    <xf fontId="2" fillId="0" borderId="15" numFmtId="0" xfId="0" applyFont="1" applyBorder="1" applyAlignment="1">
      <alignment horizontal="center" vertical="center" wrapText="1"/>
    </xf>
    <xf fontId="2" fillId="0" borderId="7" numFmtId="0" xfId="0" applyFont="1" applyBorder="1" applyAlignment="1">
      <alignment horizontal="center" vertical="center" wrapText="1"/>
    </xf>
    <xf fontId="2" fillId="0" borderId="0" numFmtId="0" xfId="0" applyFont="1" applyAlignment="1">
      <alignment horizontal="center" vertical="center"/>
    </xf>
    <xf fontId="2" fillId="0" borderId="1" numFmtId="0" xfId="0" applyFont="1" applyBorder="1" applyAlignment="1">
      <alignment readingOrder="0"/>
    </xf>
    <xf fontId="2" fillId="3" borderId="5" numFmtId="0" xfId="0" applyFont="1" applyFill="1" applyBorder="1" applyAlignment="1">
      <alignment readingOrder="0" vertical="center" wrapText="1"/>
    </xf>
    <xf fontId="2" fillId="3" borderId="7" numFmtId="0" xfId="0" applyFont="1" applyFill="1" applyBorder="1" applyAlignment="1">
      <alignment horizontal="center" readingOrder="0" vertical="center" wrapText="1"/>
    </xf>
    <xf fontId="2" fillId="0" borderId="8" numFmtId="0" xfId="0" applyFont="1" applyBorder="1" applyAlignment="1">
      <alignment horizontal="center" vertical="center"/>
    </xf>
    <xf fontId="2" fillId="0" borderId="9" numFmtId="0" xfId="0" applyFont="1" applyBorder="1" applyAlignment="1">
      <alignment horizontal="center" readingOrder="0" vertical="center"/>
    </xf>
    <xf fontId="2" fillId="0" borderId="9" numFmtId="0" xfId="0" applyFont="1" applyBorder="1" applyAlignment="1">
      <alignment horizontal="center" vertical="center"/>
    </xf>
    <xf fontId="2" fillId="0" borderId="10" numFmtId="0" xfId="0" applyFont="1" applyBorder="1" applyAlignment="1">
      <alignment horizontal="center" vertical="center"/>
    </xf>
    <xf fontId="2" fillId="0" borderId="4" numFmtId="0" xfId="0" applyFont="1" applyBorder="1" applyAlignment="1">
      <alignment horizontal="center" vertical="center"/>
    </xf>
    <xf fontId="2" fillId="3" borderId="0" numFmtId="0" xfId="0" applyFont="1" applyFill="1" applyAlignment="1">
      <alignment readingOrder="0" vertical="center" wrapText="1"/>
    </xf>
    <xf fontId="2" fillId="3" borderId="2" numFmtId="0" xfId="0" applyFont="1" applyFill="1" applyBorder="1" applyAlignment="1">
      <alignment horizontal="center" readingOrder="0" vertical="center" wrapText="1"/>
    </xf>
    <xf fontId="2" fillId="0" borderId="14" numFmtId="0" xfId="0" applyFont="1" applyBorder="1" applyAlignment="1">
      <alignment horizontal="center" vertical="center"/>
    </xf>
    <xf fontId="2" fillId="0" borderId="15" numFmtId="0" xfId="0" applyFont="1" applyBorder="1" applyAlignment="1">
      <alignment horizontal="center" vertical="center"/>
    </xf>
    <xf fontId="2" fillId="0" borderId="7" numFmtId="0" xfId="0" applyFont="1" applyBorder="1" applyAlignment="1">
      <alignment horizontal="center" vertical="center"/>
    </xf>
    <xf fontId="2" fillId="0" borderId="12" numFmtId="0" xfId="0" applyFont="1" applyBorder="1" applyAlignment="1">
      <alignment horizontal="center" vertical="center"/>
    </xf>
    <xf fontId="2" fillId="0" borderId="13" numFmtId="0" xfId="0" applyFont="1" applyBorder="1" applyAlignment="1">
      <alignment horizontal="center" vertical="center"/>
    </xf>
    <xf fontId="4" fillId="0" borderId="0" numFmtId="0" xfId="0" applyFont="1"/>
    <xf fontId="2" fillId="0" borderId="0" numFmtId="0" xfId="0" applyFont="1" applyAlignment="1">
      <alignment horizontal="center" readingOrder="0" vertical="center"/>
    </xf>
    <xf fontId="2" fillId="0" borderId="6" numFmtId="0" xfId="0" applyFont="1" applyBorder="1" applyAlignment="1">
      <alignment horizontal="center" vertical="center"/>
    </xf>
    <xf fontId="2" fillId="0" borderId="5" numFmt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_rels/chart4.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sz="2000" b="0" i="0">
                <a:solidFill>
                  <a:srgbClr val="757575"/>
                </a:solidFill>
                <a:latin typeface="Calibri"/>
              </a:defRPr>
            </a:pPr>
            <a:r>
              <a:rPr sz="2000" b="0" i="0">
                <a:solidFill>
                  <a:srgbClr val="757575"/>
                </a:solidFill>
                <a:latin typeface="Calibri"/>
              </a:rPr>
              <a:t>BurnDown Trabajo Pendiente</a:t>
            </a:r>
            <a:endParaRPr/>
          </a:p>
        </c:rich>
      </c:tx>
      <c:layout/>
      <c:overlay val="0"/>
    </c:title>
    <c:plotArea>
      <c:layout/>
      <c:lineChart>
        <c:varyColors val="0"/>
        <c:ser>
          <c:idx val="0"/>
          <c:order val="0"/>
          <c:tx>
            <c:v>Reales de producto por realizar</c:v>
          </c:tx>
          <c:spPr bwMode="auto">
            <a:prstGeom prst="rect">
              <a:avLst/>
            </a:prstGeom>
            <a:ln w="38100" cmpd="sng">
              <a:solidFill>
                <a:schemeClr val="accent1"/>
              </a:solidFill>
            </a:ln>
          </c:spPr>
          <c:marker>
            <c:symbol val="none"/>
          </c:marker>
          <c:cat>
            <c:strRef>
              <c:f>'Sprint 0 '!$C$4:$V$4</c:f>
            </c:strRef>
          </c:cat>
          <c:val>
            <c:numRef>
              <c:f>'Sprint 0 '!$B$8:$V$8</c:f>
              <c:numCache/>
            </c:numRef>
          </c:val>
          <c:smooth val="0"/>
        </c:ser>
        <c:ser>
          <c:idx val="1"/>
          <c:order val="1"/>
          <c:tx>
            <c:v>Estimadas de producto por realizar</c:v>
          </c:tx>
          <c:spPr bwMode="auto">
            <a:prstGeom prst="rect">
              <a:avLst/>
            </a:prstGeom>
            <a:ln w="38100" cmpd="sng">
              <a:solidFill>
                <a:schemeClr val="accent2"/>
              </a:solidFill>
            </a:ln>
          </c:spPr>
          <c:marker>
            <c:symbol val="none"/>
          </c:marker>
          <c:cat>
            <c:strRef>
              <c:f>'Sprint 0 '!$C$4:$V$4</c:f>
            </c:strRef>
          </c:cat>
          <c:val>
            <c:numRef>
              <c:f>'Sprint 0 '!$B$10:$V$10</c:f>
              <c:numCache/>
            </c:numRef>
          </c:val>
          <c:smooth val="0"/>
        </c:ser>
        <c:dLbls>
          <c:showBubbleSize val="0"/>
          <c:showCatName val="0"/>
          <c:showLegendKey val="0"/>
          <c:showPercent val="0"/>
          <c:showSerName val="0"/>
          <c:showVal val="0"/>
        </c:dLbls>
        <c:smooth val="0"/>
        <c:axId val="194360741"/>
        <c:axId val="461788965"/>
      </c:lineChart>
      <c:catAx>
        <c:axId val="194360741"/>
        <c:scaling>
          <c:orientation val="minMax"/>
        </c:scaling>
        <c:delete val="0"/>
        <c:axPos val="b"/>
        <c:title>
          <c:tx>
            <c:rich>
              <a:bodyPr/>
              <a:lstStyle/>
              <a:p>
                <a:pPr lvl="0">
                  <a:defRPr sz="900" b="0" i="0">
                    <a:solidFill>
                      <a:srgbClr val="000000"/>
                    </a:solidFill>
                    <a:latin typeface="+mn-lt"/>
                  </a:defRPr>
                </a:pPr>
                <a:r>
                  <a:rPr sz="900" b="0" i="0">
                    <a:solidFill>
                      <a:srgbClr val="000000"/>
                    </a:solidFill>
                    <a:latin typeface="+mn-lt"/>
                  </a:rPr>
                  <a:t>DIA</a:t>
                </a:r>
                <a:endParaRPr/>
              </a:p>
            </c:rich>
          </c:tx>
          <c:layout/>
          <c:overlay val="0"/>
        </c:title>
        <c:numFmt formatCode="General" sourceLinked="1"/>
        <c:majorTickMark val="none"/>
        <c:minorTickMark val="none"/>
        <c:spPr bwMode="auto">
          <a:prstGeom prst="rect">
            <a:avLst/>
          </a:prstGeom>
          <a:ln>
            <a:noFill/>
          </a:ln>
        </c:spPr>
        <c:txPr>
          <a:bodyPr/>
          <a:lstStyle/>
          <a:p>
            <a:pPr lvl="0">
              <a:defRPr sz="900" b="0" i="0">
                <a:solidFill>
                  <a:srgbClr val="000000"/>
                </a:solidFill>
                <a:latin typeface="+mn-lt"/>
              </a:defRPr>
            </a:pPr>
            <a:endParaRPr/>
          </a:p>
        </c:txPr>
        <c:crossAx val="461788965"/>
        <c:crosses val="autoZero"/>
        <c:noMultiLvlLbl val="0"/>
      </c:catAx>
      <c:valAx>
        <c:axId val="461788965"/>
        <c:scaling>
          <c:orientation val="minMax"/>
        </c:scaling>
        <c:delete val="0"/>
        <c:axPos val="l"/>
        <c:majorGridlines>
          <c:spPr bwMode="auto">
            <a:prstGeom prst="rect">
              <a:avLst/>
            </a:prstGeom>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HORAS</a:t>
                </a:r>
                <a:endParaRPr/>
              </a:p>
            </c:rich>
          </c:tx>
          <c:layout/>
          <c:overlay val="0"/>
        </c:title>
        <c:numFmt formatCode="General" sourceLinked="1"/>
        <c:majorTickMark val="none"/>
        <c:minorTickMark val="none"/>
        <c:tickLblPos val="nextTo"/>
        <c:spPr bwMode="auto">
          <a:prstGeom prst="rect">
            <a:avLst/>
          </a:prstGeom>
          <a:ln>
            <a:noFill/>
          </a:ln>
        </c:spPr>
        <c:txPr>
          <a:bodyPr/>
          <a:lstStyle/>
          <a:p>
            <a:pPr lvl="0">
              <a:defRPr sz="900" b="0" i="0">
                <a:solidFill>
                  <a:srgbClr val="000000"/>
                </a:solidFill>
                <a:latin typeface="+mn-lt"/>
              </a:defRPr>
            </a:pPr>
            <a:endParaRPr/>
          </a:p>
        </c:txPr>
        <c:crossAx val="194360741"/>
        <c:crosses val="autoZero"/>
        <c:crossBetween val="between"/>
      </c:valAx>
    </c:plotArea>
    <c:legend>
      <c:legendPos val="b"/>
      <c:layout/>
      <c:overlay val="0"/>
      <c:txPr>
        <a:bodyPr/>
        <a:lstStyle/>
        <a:p>
          <a:pPr lvl="0">
            <a:defRPr sz="900" b="0" i="0">
              <a:solidFill>
                <a:srgbClr val="1A1A1A"/>
              </a:solidFill>
              <a:latin typeface="+mn-lt"/>
            </a:defRPr>
          </a:pPr>
          <a:endParaRPr/>
        </a:p>
      </c:txPr>
    </c:legend>
    <c:plotVisOnly val="1"/>
    <c:showDLblsOverMax val="0"/>
  </c:chart>
  <c:spPr bwMode="auto">
    <a:xfrm rot="0">
      <a:off x="0" y="0"/>
      <a:ext cx="0" cy="0"/>
    </a:xfrm>
  </c:spPr>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sz="2000" b="0" i="0">
                <a:solidFill>
                  <a:srgbClr val="757575"/>
                </a:solidFill>
                <a:latin typeface="Calibri"/>
              </a:defRPr>
            </a:pPr>
            <a:r>
              <a:rPr sz="2000" b="0" i="0">
                <a:solidFill>
                  <a:srgbClr val="757575"/>
                </a:solidFill>
                <a:latin typeface="Calibri"/>
              </a:rPr>
              <a:t>BurnDown Trabajo Pendiente</a:t>
            </a:r>
            <a:endParaRPr/>
          </a:p>
        </c:rich>
      </c:tx>
      <c:layout/>
      <c:overlay val="0"/>
    </c:title>
    <c:plotArea>
      <c:layout/>
      <c:lineChart>
        <c:varyColors val="0"/>
        <c:ser>
          <c:idx val="0"/>
          <c:order val="0"/>
          <c:tx>
            <c:v>Reales de producto por realizar</c:v>
          </c:tx>
          <c:spPr bwMode="auto">
            <a:prstGeom prst="rect">
              <a:avLst/>
            </a:prstGeom>
            <a:ln w="38100" cmpd="sng">
              <a:solidFill>
                <a:schemeClr val="accent1"/>
              </a:solidFill>
            </a:ln>
          </c:spPr>
          <c:marker>
            <c:symbol val="none"/>
          </c:marker>
          <c:cat>
            <c:strRef>
              <c:f>'Sprint 1'!$C$4:$AE$4</c:f>
            </c:strRef>
          </c:cat>
          <c:val>
            <c:numRef>
              <c:f>'Sprint 1'!$B$9:$AE$9</c:f>
              <c:numCache/>
            </c:numRef>
          </c:val>
          <c:smooth val="0"/>
        </c:ser>
        <c:ser>
          <c:idx val="1"/>
          <c:order val="1"/>
          <c:tx>
            <c:v>Estimadas de producto por realizar</c:v>
          </c:tx>
          <c:spPr bwMode="auto">
            <a:prstGeom prst="rect">
              <a:avLst/>
            </a:prstGeom>
            <a:ln w="38100" cmpd="sng">
              <a:solidFill>
                <a:schemeClr val="accent2"/>
              </a:solidFill>
            </a:ln>
          </c:spPr>
          <c:marker>
            <c:symbol val="none"/>
          </c:marker>
          <c:cat>
            <c:strRef>
              <c:f>'Sprint 1'!$C$4:$AE$4</c:f>
            </c:strRef>
          </c:cat>
          <c:val>
            <c:numRef>
              <c:f>'Sprint 1'!$B$11:$AE$11</c:f>
              <c:numCache/>
            </c:numRef>
          </c:val>
          <c:smooth val="0"/>
        </c:ser>
        <c:dLbls>
          <c:showBubbleSize val="0"/>
          <c:showCatName val="0"/>
          <c:showLegendKey val="0"/>
          <c:showPercent val="0"/>
          <c:showSerName val="0"/>
          <c:showVal val="0"/>
        </c:dLbls>
        <c:smooth val="0"/>
        <c:axId val="941735758"/>
        <c:axId val="1897371150"/>
      </c:lineChart>
      <c:catAx>
        <c:axId val="941735758"/>
        <c:scaling>
          <c:orientation val="minMax"/>
        </c:scaling>
        <c:delete val="0"/>
        <c:axPos val="b"/>
        <c:title>
          <c:tx>
            <c:rich>
              <a:bodyPr/>
              <a:lstStyle/>
              <a:p>
                <a:pPr lvl="0">
                  <a:defRPr sz="900" b="0" i="0">
                    <a:solidFill>
                      <a:srgbClr val="000000"/>
                    </a:solidFill>
                    <a:latin typeface="+mn-lt"/>
                  </a:defRPr>
                </a:pPr>
                <a:r>
                  <a:rPr sz="900" b="0" i="0">
                    <a:solidFill>
                      <a:srgbClr val="000000"/>
                    </a:solidFill>
                    <a:latin typeface="+mn-lt"/>
                  </a:rPr>
                  <a:t>DIA</a:t>
                </a:r>
                <a:endParaRPr/>
              </a:p>
            </c:rich>
          </c:tx>
          <c:layout/>
          <c:overlay val="0"/>
        </c:title>
        <c:numFmt formatCode="General" sourceLinked="1"/>
        <c:majorTickMark val="none"/>
        <c:minorTickMark val="none"/>
        <c:spPr bwMode="auto">
          <a:prstGeom prst="rect">
            <a:avLst/>
          </a:prstGeom>
          <a:ln>
            <a:noFill/>
          </a:ln>
        </c:spPr>
        <c:txPr>
          <a:bodyPr/>
          <a:lstStyle/>
          <a:p>
            <a:pPr lvl="0">
              <a:defRPr sz="900" b="0" i="0">
                <a:solidFill>
                  <a:srgbClr val="000000"/>
                </a:solidFill>
                <a:latin typeface="+mn-lt"/>
              </a:defRPr>
            </a:pPr>
            <a:endParaRPr/>
          </a:p>
        </c:txPr>
        <c:crossAx val="1897371150"/>
        <c:crosses val="autoZero"/>
        <c:noMultiLvlLbl val="0"/>
      </c:catAx>
      <c:valAx>
        <c:axId val="1897371150"/>
        <c:scaling>
          <c:orientation val="minMax"/>
        </c:scaling>
        <c:delete val="0"/>
        <c:axPos val="l"/>
        <c:majorGridlines>
          <c:spPr bwMode="auto">
            <a:prstGeom prst="rect">
              <a:avLst/>
            </a:prstGeom>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HORAS</a:t>
                </a:r>
                <a:endParaRPr/>
              </a:p>
            </c:rich>
          </c:tx>
          <c:layout/>
          <c:overlay val="0"/>
        </c:title>
        <c:numFmt formatCode="General" sourceLinked="1"/>
        <c:majorTickMark val="none"/>
        <c:minorTickMark val="none"/>
        <c:tickLblPos val="nextTo"/>
        <c:spPr bwMode="auto">
          <a:prstGeom prst="rect">
            <a:avLst/>
          </a:prstGeom>
          <a:ln>
            <a:noFill/>
          </a:ln>
        </c:spPr>
        <c:txPr>
          <a:bodyPr/>
          <a:lstStyle/>
          <a:p>
            <a:pPr lvl="0">
              <a:defRPr sz="900" b="0" i="0">
                <a:solidFill>
                  <a:srgbClr val="000000"/>
                </a:solidFill>
                <a:latin typeface="+mn-lt"/>
              </a:defRPr>
            </a:pPr>
            <a:endParaRPr/>
          </a:p>
        </c:txPr>
        <c:crossAx val="941735758"/>
        <c:crosses val="autoZero"/>
        <c:crossBetween val="between"/>
      </c:valAx>
    </c:plotArea>
    <c:legend>
      <c:legendPos val="b"/>
      <c:layout/>
      <c:overlay val="0"/>
      <c:txPr>
        <a:bodyPr/>
        <a:lstStyle/>
        <a:p>
          <a:pPr lvl="0">
            <a:defRPr sz="900" b="0" i="0">
              <a:solidFill>
                <a:srgbClr val="1A1A1A"/>
              </a:solidFill>
              <a:latin typeface="+mn-lt"/>
            </a:defRPr>
          </a:pPr>
          <a:endParaRPr/>
        </a:p>
      </c:txPr>
    </c:legend>
    <c:plotVisOnly val="1"/>
    <c:showDLblsOverMax val="0"/>
  </c:chart>
  <c:spPr bwMode="auto">
    <a:xfrm rot="0">
      <a:off x="0" y="0"/>
      <a:ext cx="0" cy="0"/>
    </a:xfrm>
  </c:spPr>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sz="2000" b="0" i="0">
                <a:solidFill>
                  <a:srgbClr val="757575"/>
                </a:solidFill>
                <a:latin typeface="Calibri"/>
              </a:defRPr>
            </a:pPr>
            <a:r>
              <a:rPr sz="2000" b="0" i="0">
                <a:solidFill>
                  <a:srgbClr val="757575"/>
                </a:solidFill>
                <a:latin typeface="Calibri"/>
              </a:rPr>
              <a:t>BurnDown Trabajo Pendiente</a:t>
            </a:r>
            <a:endParaRPr/>
          </a:p>
        </c:rich>
      </c:tx>
      <c:layout/>
      <c:overlay val="0"/>
    </c:title>
    <c:plotArea>
      <c:layout/>
      <c:lineChart>
        <c:varyColors val="0"/>
        <c:ser>
          <c:idx val="0"/>
          <c:order val="0"/>
          <c:tx>
            <c:v>Reales de producto por realizar</c:v>
          </c:tx>
          <c:spPr bwMode="auto">
            <a:prstGeom prst="rect">
              <a:avLst/>
            </a:prstGeom>
            <a:ln w="38100" cmpd="sng">
              <a:solidFill>
                <a:schemeClr val="accent1"/>
              </a:solidFill>
            </a:ln>
          </c:spPr>
          <c:marker>
            <c:symbol val="none"/>
          </c:marker>
          <c:cat>
            <c:strRef>
              <c:f>'Sprint 2'!$C$4:$AB$4</c:f>
            </c:strRef>
          </c:cat>
          <c:val>
            <c:numRef>
              <c:f>'Sprint 2'!$B$11:$AB$11</c:f>
              <c:numCache>
                <c:formatCode>General</c:formatCode>
                <c:ptCount val="27"/>
              </c:numCache>
            </c:numRef>
          </c:val>
          <c:smooth val="0"/>
        </c:ser>
        <c:ser>
          <c:idx val="1"/>
          <c:order val="1"/>
          <c:tx>
            <c:v>Estimadas de producto por realizar</c:v>
          </c:tx>
          <c:spPr bwMode="auto">
            <a:prstGeom prst="rect">
              <a:avLst/>
            </a:prstGeom>
            <a:ln w="38100" cmpd="sng">
              <a:solidFill>
                <a:schemeClr val="accent2"/>
              </a:solidFill>
            </a:ln>
          </c:spPr>
          <c:marker>
            <c:symbol val="none"/>
          </c:marker>
          <c:cat>
            <c:strRef>
              <c:f>'Sprint 2'!$C$4:$AB$4</c:f>
            </c:strRef>
          </c:cat>
          <c:val>
            <c:numRef>
              <c:f>'Sprint 2'!$B$13:$AB$13</c:f>
              <c:numCache>
                <c:formatCode>General</c:formatCode>
                <c:ptCount val="27"/>
              </c:numCache>
            </c:numRef>
          </c:val>
          <c:smooth val="0"/>
        </c:ser>
        <c:dLbls>
          <c:showBubbleSize val="0"/>
          <c:showCatName val="0"/>
          <c:showLegendKey val="0"/>
          <c:showPercent val="0"/>
          <c:showSerName val="0"/>
          <c:showVal val="0"/>
        </c:dLbls>
        <c:smooth val="0"/>
        <c:axId val="388533623"/>
        <c:axId val="1916100749"/>
      </c:lineChart>
      <c:catAx>
        <c:axId val="388533623"/>
        <c:scaling>
          <c:orientation val="minMax"/>
        </c:scaling>
        <c:delete val="0"/>
        <c:axPos val="b"/>
        <c:title>
          <c:tx>
            <c:rich>
              <a:bodyPr/>
              <a:lstStyle/>
              <a:p>
                <a:pPr lvl="0">
                  <a:defRPr sz="900" b="0" i="0">
                    <a:solidFill>
                      <a:srgbClr val="000000"/>
                    </a:solidFill>
                    <a:latin typeface="+mn-lt"/>
                  </a:defRPr>
                </a:pPr>
                <a:r>
                  <a:rPr sz="900" b="0" i="0">
                    <a:solidFill>
                      <a:srgbClr val="000000"/>
                    </a:solidFill>
                    <a:latin typeface="+mn-lt"/>
                  </a:rPr>
                  <a:t>DIA</a:t>
                </a:r>
                <a:endParaRPr/>
              </a:p>
            </c:rich>
          </c:tx>
          <c:layout/>
          <c:overlay val="0"/>
        </c:title>
        <c:numFmt formatCode="General" sourceLinked="1"/>
        <c:majorTickMark val="none"/>
        <c:minorTickMark val="none"/>
        <c:spPr bwMode="auto">
          <a:prstGeom prst="rect">
            <a:avLst/>
          </a:prstGeom>
          <a:ln>
            <a:noFill/>
          </a:ln>
        </c:spPr>
        <c:txPr>
          <a:bodyPr/>
          <a:lstStyle/>
          <a:p>
            <a:pPr lvl="0">
              <a:defRPr sz="900" b="0" i="0">
                <a:solidFill>
                  <a:srgbClr val="000000"/>
                </a:solidFill>
                <a:latin typeface="+mn-lt"/>
              </a:defRPr>
            </a:pPr>
            <a:endParaRPr/>
          </a:p>
        </c:txPr>
        <c:crossAx val="1916100749"/>
        <c:crosses val="autoZero"/>
        <c:noMultiLvlLbl val="0"/>
      </c:catAx>
      <c:valAx>
        <c:axId val="1916100749"/>
        <c:scaling>
          <c:orientation val="minMax"/>
        </c:scaling>
        <c:delete val="0"/>
        <c:axPos val="l"/>
        <c:majorGridlines>
          <c:spPr bwMode="auto">
            <a:prstGeom prst="rect">
              <a:avLst/>
            </a:prstGeom>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HORAS</a:t>
                </a:r>
                <a:endParaRPr/>
              </a:p>
            </c:rich>
          </c:tx>
          <c:layout/>
          <c:overlay val="0"/>
        </c:title>
        <c:numFmt formatCode="General" sourceLinked="1"/>
        <c:majorTickMark val="none"/>
        <c:minorTickMark val="none"/>
        <c:tickLblPos val="nextTo"/>
        <c:spPr bwMode="auto">
          <a:prstGeom prst="rect">
            <a:avLst/>
          </a:prstGeom>
          <a:ln>
            <a:noFill/>
          </a:ln>
        </c:spPr>
        <c:txPr>
          <a:bodyPr/>
          <a:lstStyle/>
          <a:p>
            <a:pPr lvl="0">
              <a:defRPr sz="900" b="0" i="0">
                <a:solidFill>
                  <a:srgbClr val="000000"/>
                </a:solidFill>
                <a:latin typeface="+mn-lt"/>
              </a:defRPr>
            </a:pPr>
            <a:endParaRPr/>
          </a:p>
        </c:txPr>
        <c:crossAx val="388533623"/>
        <c:crosses val="autoZero"/>
        <c:crossBetween val="between"/>
      </c:valAx>
    </c:plotArea>
    <c:legend>
      <c:legendPos val="b"/>
      <c:layout/>
      <c:overlay val="0"/>
      <c:txPr>
        <a:bodyPr/>
        <a:lstStyle/>
        <a:p>
          <a:pPr lvl="0">
            <a:defRPr sz="900" b="0" i="0">
              <a:solidFill>
                <a:srgbClr val="1A1A1A"/>
              </a:solidFill>
              <a:latin typeface="+mn-lt"/>
            </a:defRPr>
          </a:pPr>
          <a:endParaRPr/>
        </a:p>
      </c:txPr>
    </c:legend>
    <c:plotVisOnly val="1"/>
    <c:showDLblsOverMax val="0"/>
  </c:chart>
  <c:spPr bwMode="auto">
    <a:xfrm rot="0">
      <a:off x="0" y="0"/>
      <a:ext cx="0" cy="0"/>
    </a:xfrm>
  </c:spPr>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roundedCorners val="0"/>
  <mc:AlternateContent>
    <mc:Choice Requires="c14">
      <c14:style val="102"/>
    </mc:Choice>
    <mc:Fallback>
      <c:style val="2"/>
    </mc:Fallback>
  </mc:AlternateContent>
  <c:chart>
    <c:title>
      <c:tx>
        <c:rich>
          <a:bodyPr/>
          <a:lstStyle/>
          <a:p>
            <a:pPr lvl="0">
              <a:defRPr sz="2000" b="0" i="0">
                <a:solidFill>
                  <a:srgbClr val="757575"/>
                </a:solidFill>
                <a:latin typeface="Calibri"/>
              </a:defRPr>
            </a:pPr>
            <a:r>
              <a:rPr sz="2000" b="0" i="0">
                <a:solidFill>
                  <a:srgbClr val="757575"/>
                </a:solidFill>
                <a:latin typeface="Calibri"/>
              </a:rPr>
              <a:t>BurnDown Trabajo Pendiente</a:t>
            </a:r>
            <a:endParaRPr/>
          </a:p>
        </c:rich>
      </c:tx>
      <c:layout/>
      <c:overlay val="0"/>
    </c:title>
    <c:plotArea>
      <c:layout/>
      <c:lineChart>
        <c:varyColors val="0"/>
        <c:ser>
          <c:idx val="0"/>
          <c:order val="0"/>
          <c:tx>
            <c:v>Reales de producto por realizar</c:v>
          </c:tx>
          <c:spPr bwMode="auto">
            <a:prstGeom prst="rect">
              <a:avLst/>
            </a:prstGeom>
            <a:ln w="38100" cmpd="sng">
              <a:solidFill>
                <a:schemeClr val="accent1"/>
              </a:solidFill>
            </a:ln>
          </c:spPr>
          <c:marker>
            <c:symbol val="none"/>
          </c:marker>
          <c:cat>
            <c:strRef>
              <c:f>'Sprint 3'!$C$4:$V$4</c:f>
            </c:strRef>
          </c:cat>
          <c:val>
            <c:numRef>
              <c:f>'Sprint 3'!$B$12:$V$12</c:f>
              <c:numCache/>
            </c:numRef>
          </c:val>
          <c:smooth val="0"/>
        </c:ser>
        <c:ser>
          <c:idx val="1"/>
          <c:order val="1"/>
          <c:tx>
            <c:v>Estimadas de producto por realizar</c:v>
          </c:tx>
          <c:spPr bwMode="auto">
            <a:prstGeom prst="rect">
              <a:avLst/>
            </a:prstGeom>
            <a:ln w="38100" cmpd="sng">
              <a:solidFill>
                <a:schemeClr val="accent2"/>
              </a:solidFill>
            </a:ln>
          </c:spPr>
          <c:marker>
            <c:symbol val="none"/>
          </c:marker>
          <c:cat>
            <c:strRef>
              <c:f>'Sprint 3'!$C$4:$V$4</c:f>
            </c:strRef>
          </c:cat>
          <c:val>
            <c:numRef>
              <c:f>'Sprint 3'!$B$14:$V$14</c:f>
              <c:numCache/>
            </c:numRef>
          </c:val>
          <c:smooth val="0"/>
        </c:ser>
        <c:dLbls>
          <c:showBubbleSize val="0"/>
          <c:showCatName val="0"/>
          <c:showLegendKey val="0"/>
          <c:showPercent val="0"/>
          <c:showSerName val="0"/>
          <c:showVal val="0"/>
        </c:dLbls>
        <c:smooth val="0"/>
        <c:axId val="1498655754"/>
        <c:axId val="755684071"/>
      </c:lineChart>
      <c:catAx>
        <c:axId val="1498655754"/>
        <c:scaling>
          <c:orientation val="minMax"/>
        </c:scaling>
        <c:delete val="0"/>
        <c:axPos val="b"/>
        <c:title>
          <c:tx>
            <c:rich>
              <a:bodyPr/>
              <a:lstStyle/>
              <a:p>
                <a:pPr lvl="0">
                  <a:defRPr sz="900" b="0" i="0">
                    <a:solidFill>
                      <a:srgbClr val="000000"/>
                    </a:solidFill>
                    <a:latin typeface="+mn-lt"/>
                  </a:defRPr>
                </a:pPr>
                <a:r>
                  <a:rPr sz="900" b="0" i="0">
                    <a:solidFill>
                      <a:srgbClr val="000000"/>
                    </a:solidFill>
                    <a:latin typeface="+mn-lt"/>
                  </a:rPr>
                  <a:t>DIA</a:t>
                </a:r>
                <a:endParaRPr/>
              </a:p>
            </c:rich>
          </c:tx>
          <c:layout/>
          <c:overlay val="0"/>
        </c:title>
        <c:numFmt formatCode="General" sourceLinked="1"/>
        <c:majorTickMark val="none"/>
        <c:minorTickMark val="none"/>
        <c:spPr bwMode="auto">
          <a:prstGeom prst="rect">
            <a:avLst/>
          </a:prstGeom>
          <a:ln>
            <a:noFill/>
          </a:ln>
        </c:spPr>
        <c:txPr>
          <a:bodyPr/>
          <a:lstStyle/>
          <a:p>
            <a:pPr lvl="0">
              <a:defRPr sz="900" b="0" i="0">
                <a:solidFill>
                  <a:srgbClr val="000000"/>
                </a:solidFill>
                <a:latin typeface="+mn-lt"/>
              </a:defRPr>
            </a:pPr>
            <a:endParaRPr/>
          </a:p>
        </c:txPr>
        <c:crossAx val="755684071"/>
        <c:crosses val="autoZero"/>
        <c:noMultiLvlLbl val="0"/>
      </c:catAx>
      <c:valAx>
        <c:axId val="755684071"/>
        <c:scaling>
          <c:orientation val="minMax"/>
        </c:scaling>
        <c:delete val="0"/>
        <c:axPos val="l"/>
        <c:majorGridlines>
          <c:spPr bwMode="auto">
            <a:prstGeom prst="rect">
              <a:avLst/>
            </a:prstGeom>
            <a:ln>
              <a:solidFill>
                <a:srgbClr val="B7B7B7"/>
              </a:solidFill>
            </a:ln>
          </c:spPr>
        </c:majorGridlines>
        <c:title>
          <c:tx>
            <c:rich>
              <a:bodyPr/>
              <a:lstStyle/>
              <a:p>
                <a:pPr lvl="0">
                  <a:defRPr sz="900" b="0" i="0">
                    <a:solidFill>
                      <a:srgbClr val="000000"/>
                    </a:solidFill>
                    <a:latin typeface="+mn-lt"/>
                  </a:defRPr>
                </a:pPr>
                <a:r>
                  <a:rPr sz="900" b="0" i="0">
                    <a:solidFill>
                      <a:srgbClr val="000000"/>
                    </a:solidFill>
                    <a:latin typeface="+mn-lt"/>
                  </a:rPr>
                  <a:t>HORAS</a:t>
                </a:r>
                <a:endParaRPr/>
              </a:p>
            </c:rich>
          </c:tx>
          <c:layout/>
          <c:overlay val="0"/>
        </c:title>
        <c:numFmt formatCode="General" sourceLinked="1"/>
        <c:majorTickMark val="none"/>
        <c:minorTickMark val="none"/>
        <c:tickLblPos val="nextTo"/>
        <c:spPr bwMode="auto">
          <a:prstGeom prst="rect">
            <a:avLst/>
          </a:prstGeom>
          <a:ln>
            <a:noFill/>
          </a:ln>
        </c:spPr>
        <c:txPr>
          <a:bodyPr/>
          <a:lstStyle/>
          <a:p>
            <a:pPr lvl="0">
              <a:defRPr sz="900" b="0" i="0">
                <a:solidFill>
                  <a:srgbClr val="000000"/>
                </a:solidFill>
                <a:latin typeface="+mn-lt"/>
              </a:defRPr>
            </a:pPr>
            <a:endParaRPr/>
          </a:p>
        </c:txPr>
        <c:crossAx val="1498655754"/>
        <c:crosses val="autoZero"/>
        <c:crossBetween val="between"/>
      </c:valAx>
    </c:plotArea>
    <c:legend>
      <c:legendPos val="b"/>
      <c:layout/>
      <c:overlay val="0"/>
      <c:txPr>
        <a:bodyPr/>
        <a:lstStyle/>
        <a:p>
          <a:pPr lvl="0">
            <a:defRPr sz="900" b="0" i="0">
              <a:solidFill>
                <a:srgbClr val="1A1A1A"/>
              </a:solidFill>
              <a:latin typeface="+mn-lt"/>
            </a:defRPr>
          </a:pPr>
          <a:endParaRPr/>
        </a:p>
      </c:txPr>
    </c:legend>
    <c:plotVisOnly val="1"/>
    <c:showDLblsOverMax val="0"/>
  </c:chart>
  <c:spPr bwMode="auto">
    <a:xfrm rot="0">
      <a:off x="0" y="0"/>
      <a:ext cx="0" cy="0"/>
    </a:xfrm>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s>
</file>

<file path=xl/drawings/_rels/drawing4.xml.rels><?xml version="1.0" encoding="UTF-8" standalone="yes"?><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23</xdr:col>
      <xdr:colOff>161924</xdr:colOff>
      <xdr:row>1</xdr:row>
      <xdr:rowOff>142875</xdr:rowOff>
    </xdr:from>
    <xdr:ext cx="3524250" cy="3257550"/>
    <xdr:graphicFrame>
      <xdr:nvGraphicFramePr>
        <xdr:cNvPr id="1965219319" name="Chart 4"/>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32</xdr:col>
      <xdr:colOff>57150</xdr:colOff>
      <xdr:row>1</xdr:row>
      <xdr:rowOff>180975</xdr:rowOff>
    </xdr:from>
    <xdr:ext cx="4210050" cy="3895725"/>
    <xdr:graphicFrame>
      <xdr:nvGraphicFramePr>
        <xdr:cNvPr id="1097509268" name="Chart 1" title="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29</xdr:col>
      <xdr:colOff>161924</xdr:colOff>
      <xdr:row>1</xdr:row>
      <xdr:rowOff>142875</xdr:rowOff>
    </xdr:from>
    <xdr:ext cx="3524250" cy="3257550"/>
    <xdr:graphicFrame>
      <xdr:nvGraphicFramePr>
        <xdr:cNvPr id="1054506471" name="Chart 2" title="Gráfico"/>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23</xdr:col>
      <xdr:colOff>161924</xdr:colOff>
      <xdr:row>1</xdr:row>
      <xdr:rowOff>142875</xdr:rowOff>
    </xdr:from>
    <xdr:ext cx="3524250" cy="3257550"/>
    <xdr:graphicFrame>
      <xdr:nvGraphicFramePr>
        <xdr:cNvPr id="35308452" name="Chart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25.43"/>
    <col customWidth="1" min="2" max="2" width="17"/>
    <col customWidth="1" min="3" max="3" width="5.8600000000000003"/>
    <col customWidth="1" min="4" max="4" width="4.8600000000000003"/>
    <col customWidth="1" min="5" max="5" width="5.8600000000000003"/>
    <col customWidth="1" min="6" max="6" width="4.8600000000000003"/>
    <col customWidth="1" min="7" max="7" width="5.8600000000000003"/>
    <col customWidth="1" min="8" max="8" width="4.8600000000000003"/>
    <col customWidth="1" min="9" max="9" width="5.8600000000000003"/>
    <col customWidth="1" min="10" max="10" width="4.8600000000000003"/>
    <col customWidth="1" min="11" max="11" width="5.8600000000000003"/>
    <col customWidth="1" min="12" max="12" width="4.8600000000000003"/>
    <col customWidth="1" min="13" max="13" width="5.8600000000000003"/>
    <col customWidth="1" min="14" max="14" width="4.8600000000000003"/>
    <col customWidth="1" min="15" max="15" width="5.8600000000000003"/>
    <col customWidth="1" min="16" max="16" width="3.8599999999999999"/>
    <col customWidth="1" min="17" max="17" width="4.8600000000000003"/>
    <col customWidth="1" min="18" max="18" width="3.8599999999999999"/>
    <col customWidth="1" min="19" max="19" width="4.8600000000000003"/>
    <col customWidth="1" min="20" max="20" width="3.8599999999999999"/>
    <col customWidth="1" min="21" max="21" width="4.8600000000000003"/>
    <col customWidth="1" min="22" max="22" width="3.29"/>
    <col customWidth="1" min="23" max="29" width="10.710000000000001"/>
  </cols>
  <sheetData>
    <row r="1" ht="21">
      <c r="A1" s="1" t="s">
        <v>0</v>
      </c>
    </row>
    <row r="3">
      <c r="A3" s="2" t="s">
        <v>1</v>
      </c>
      <c r="B3" s="3" t="s">
        <v>2</v>
      </c>
      <c r="C3" s="4" t="s">
        <v>3</v>
      </c>
      <c r="D3" s="5"/>
      <c r="E3" s="5"/>
      <c r="F3" s="5"/>
      <c r="G3" s="5"/>
      <c r="H3" s="5"/>
      <c r="I3" s="5"/>
      <c r="J3" s="5"/>
      <c r="K3" s="5"/>
      <c r="L3" s="5"/>
      <c r="M3" s="5"/>
      <c r="N3" s="5"/>
      <c r="O3" s="5"/>
      <c r="P3" s="5"/>
      <c r="Q3" s="5"/>
      <c r="R3" s="5"/>
      <c r="S3" s="5"/>
      <c r="T3" s="5"/>
      <c r="U3" s="5"/>
      <c r="V3" s="6"/>
      <c r="W3" s="2" t="s">
        <v>4</v>
      </c>
    </row>
    <row r="4">
      <c r="A4" s="7"/>
      <c r="B4" s="7"/>
      <c r="C4" s="8">
        <v>1</v>
      </c>
      <c r="D4" s="8">
        <v>2</v>
      </c>
      <c r="E4" s="8">
        <v>3</v>
      </c>
      <c r="F4" s="8">
        <v>4</v>
      </c>
      <c r="G4" s="8">
        <v>5</v>
      </c>
      <c r="H4" s="8">
        <v>6</v>
      </c>
      <c r="I4" s="8">
        <v>7</v>
      </c>
      <c r="J4" s="8">
        <v>8</v>
      </c>
      <c r="K4" s="8">
        <v>9</v>
      </c>
      <c r="L4" s="8">
        <v>10</v>
      </c>
      <c r="M4" s="8">
        <v>11</v>
      </c>
      <c r="N4" s="8">
        <v>12</v>
      </c>
      <c r="O4" s="8">
        <v>13</v>
      </c>
      <c r="P4" s="8">
        <v>14</v>
      </c>
      <c r="Q4" s="8">
        <v>15</v>
      </c>
      <c r="R4" s="8">
        <v>16</v>
      </c>
      <c r="S4" s="8">
        <v>17</v>
      </c>
      <c r="T4" s="8">
        <v>18</v>
      </c>
      <c r="U4" s="8">
        <v>19</v>
      </c>
      <c r="V4" s="8">
        <v>20</v>
      </c>
      <c r="W4" s="9"/>
    </row>
    <row r="5" ht="128.25">
      <c r="A5" s="10" t="s">
        <v>5</v>
      </c>
      <c r="B5" s="11">
        <v>22</v>
      </c>
      <c r="C5" s="12"/>
      <c r="D5" s="13"/>
      <c r="E5" s="13"/>
      <c r="F5" s="13"/>
      <c r="G5" s="14">
        <v>2</v>
      </c>
      <c r="H5" s="14">
        <v>4</v>
      </c>
      <c r="I5" s="14">
        <v>2</v>
      </c>
      <c r="J5" s="14">
        <v>2</v>
      </c>
      <c r="K5" s="14"/>
      <c r="L5" s="14">
        <v>2</v>
      </c>
      <c r="M5" s="14"/>
      <c r="N5" s="14">
        <v>3</v>
      </c>
      <c r="O5" s="14">
        <v>1</v>
      </c>
      <c r="P5" s="13"/>
      <c r="Q5" s="13"/>
      <c r="R5" s="14">
        <v>1</v>
      </c>
      <c r="S5" s="14">
        <v>2</v>
      </c>
      <c r="T5" s="14">
        <v>3</v>
      </c>
      <c r="U5" s="13"/>
      <c r="V5" s="15"/>
      <c r="W5" s="16">
        <f t="shared" ref="W5:W6" si="0">SUM(C5:V5)</f>
        <v>22</v>
      </c>
    </row>
    <row r="6" ht="114">
      <c r="A6" s="17" t="s">
        <v>6</v>
      </c>
      <c r="B6" s="18">
        <v>7</v>
      </c>
      <c r="C6" s="19"/>
      <c r="D6" s="20"/>
      <c r="E6" s="20"/>
      <c r="F6" s="21">
        <v>2</v>
      </c>
      <c r="G6" s="21">
        <v>2</v>
      </c>
      <c r="H6" s="20"/>
      <c r="I6" s="21">
        <v>3</v>
      </c>
      <c r="J6" s="20"/>
      <c r="K6" s="20"/>
      <c r="L6" s="20"/>
      <c r="M6" s="20"/>
      <c r="N6" s="21"/>
      <c r="O6" s="21"/>
      <c r="P6" s="20"/>
      <c r="Q6" s="20"/>
      <c r="R6" s="20"/>
      <c r="S6" s="20"/>
      <c r="T6" s="20"/>
      <c r="U6" s="20"/>
      <c r="V6" s="22"/>
      <c r="W6" s="16">
        <f t="shared" si="0"/>
        <v>7</v>
      </c>
    </row>
    <row r="8" ht="28.5">
      <c r="A8" s="23" t="s">
        <v>7</v>
      </c>
      <c r="B8" s="24">
        <f>SUM(B5:B7)</f>
        <v>29</v>
      </c>
      <c r="C8" s="24">
        <f t="shared" ref="C8:V8" si="1">B8-SUM(C5:C6)</f>
        <v>29</v>
      </c>
      <c r="D8" s="24">
        <f t="shared" si="1"/>
        <v>29</v>
      </c>
      <c r="E8" s="24">
        <f t="shared" si="1"/>
        <v>29</v>
      </c>
      <c r="F8" s="24">
        <f t="shared" si="1"/>
        <v>27</v>
      </c>
      <c r="G8" s="24">
        <f t="shared" si="1"/>
        <v>23</v>
      </c>
      <c r="H8" s="24">
        <f t="shared" si="1"/>
        <v>19</v>
      </c>
      <c r="I8" s="24">
        <f t="shared" si="1"/>
        <v>14</v>
      </c>
      <c r="J8" s="24">
        <f t="shared" si="1"/>
        <v>12</v>
      </c>
      <c r="K8" s="24">
        <f t="shared" si="1"/>
        <v>12</v>
      </c>
      <c r="L8" s="24">
        <f t="shared" si="1"/>
        <v>10</v>
      </c>
      <c r="M8" s="24">
        <f t="shared" si="1"/>
        <v>10</v>
      </c>
      <c r="N8" s="24">
        <f t="shared" si="1"/>
        <v>7</v>
      </c>
      <c r="O8" s="24">
        <f t="shared" si="1"/>
        <v>6</v>
      </c>
      <c r="P8" s="24">
        <f t="shared" si="1"/>
        <v>6</v>
      </c>
      <c r="Q8" s="24">
        <f t="shared" si="1"/>
        <v>6</v>
      </c>
      <c r="R8" s="24">
        <f t="shared" si="1"/>
        <v>5</v>
      </c>
      <c r="S8" s="24">
        <f t="shared" si="1"/>
        <v>3</v>
      </c>
      <c r="T8" s="24">
        <f t="shared" si="1"/>
        <v>0</v>
      </c>
      <c r="U8" s="24">
        <f t="shared" si="1"/>
        <v>0</v>
      </c>
      <c r="V8" s="24">
        <f t="shared" si="1"/>
        <v>0</v>
      </c>
    </row>
    <row r="10" ht="28.5">
      <c r="A10" s="23" t="s">
        <v>8</v>
      </c>
      <c r="B10" s="24">
        <f>SUM(B5:B6)</f>
        <v>29</v>
      </c>
      <c r="C10" s="24">
        <f t="shared" ref="C10:V10" si="2">B10-(SUM($B$5:$B$6)/20)</f>
        <v>27.550000000000001</v>
      </c>
      <c r="D10" s="24">
        <f t="shared" si="2"/>
        <v>26.100000000000001</v>
      </c>
      <c r="E10" s="24">
        <f t="shared" si="2"/>
        <v>24.649999999999999</v>
      </c>
      <c r="F10" s="24">
        <f t="shared" si="2"/>
        <v>23.199999999999999</v>
      </c>
      <c r="G10" s="24">
        <f t="shared" si="2"/>
        <v>21.75</v>
      </c>
      <c r="H10" s="24">
        <f t="shared" si="2"/>
        <v>20.300000000000001</v>
      </c>
      <c r="I10" s="24">
        <f t="shared" si="2"/>
        <v>18.850000000000001</v>
      </c>
      <c r="J10" s="24">
        <f t="shared" si="2"/>
        <v>17.399999999999999</v>
      </c>
      <c r="K10" s="24">
        <f t="shared" si="2"/>
        <v>15.949999999999999</v>
      </c>
      <c r="L10" s="24">
        <f t="shared" si="2"/>
        <v>14.5</v>
      </c>
      <c r="M10" s="24">
        <f t="shared" si="2"/>
        <v>13.050000000000001</v>
      </c>
      <c r="N10" s="24">
        <f t="shared" si="2"/>
        <v>11.6</v>
      </c>
      <c r="O10" s="24">
        <f t="shared" si="2"/>
        <v>10.15</v>
      </c>
      <c r="P10" s="24">
        <f t="shared" si="2"/>
        <v>8.6999999999999993</v>
      </c>
      <c r="Q10" s="24">
        <f t="shared" si="2"/>
        <v>7.25</v>
      </c>
      <c r="R10" s="24">
        <f t="shared" si="2"/>
        <v>5.7999999999999998</v>
      </c>
      <c r="S10" s="24">
        <f t="shared" si="2"/>
        <v>4.3499999999999996</v>
      </c>
      <c r="T10" s="24">
        <f t="shared" si="2"/>
        <v>2.8999999999999999</v>
      </c>
      <c r="U10" s="24">
        <f t="shared" si="2"/>
        <v>1.45</v>
      </c>
      <c r="V10" s="24">
        <f t="shared" si="2"/>
        <v>0</v>
      </c>
    </row>
    <row r="12">
      <c r="A12" s="25"/>
      <c r="B12" s="26"/>
      <c r="C12" s="25"/>
      <c r="D12" s="25"/>
      <c r="E12" s="25"/>
      <c r="F12" s="25"/>
      <c r="G12" s="25"/>
      <c r="H12" s="25"/>
      <c r="I12" s="25"/>
    </row>
    <row r="13">
      <c r="A13" s="25"/>
      <c r="B13" s="26"/>
      <c r="C13" s="25"/>
      <c r="D13" s="25"/>
      <c r="E13" s="25"/>
      <c r="F13" s="25"/>
      <c r="G13" s="26"/>
      <c r="H13" s="25"/>
      <c r="I13" s="25"/>
    </row>
    <row r="14">
      <c r="A14" s="25"/>
      <c r="B14" s="26"/>
      <c r="C14" s="25"/>
      <c r="D14" s="25"/>
      <c r="E14" s="25"/>
      <c r="F14" s="25"/>
      <c r="G14" s="26"/>
      <c r="H14" s="25"/>
      <c r="I14" s="25"/>
    </row>
    <row r="15">
      <c r="A15" s="25"/>
      <c r="B15" s="26"/>
      <c r="C15" s="25"/>
      <c r="D15" s="25"/>
      <c r="E15" s="25"/>
      <c r="F15" s="25"/>
      <c r="G15" s="26"/>
      <c r="H15" s="25"/>
      <c r="I15" s="25"/>
    </row>
    <row r="16">
      <c r="A16" s="25"/>
      <c r="B16" s="26"/>
      <c r="C16" s="25"/>
      <c r="D16" s="25"/>
      <c r="E16" s="25"/>
      <c r="F16" s="25"/>
      <c r="G16" s="26"/>
      <c r="H16" s="25"/>
      <c r="I16" s="25"/>
    </row>
    <row r="17" ht="15.75" customHeight="1">
      <c r="A17" s="25"/>
      <c r="B17" s="26"/>
      <c r="C17" s="25"/>
      <c r="D17" s="25"/>
      <c r="E17" s="25"/>
      <c r="F17" s="25"/>
      <c r="G17" s="26"/>
      <c r="H17" s="25"/>
      <c r="I17" s="25"/>
    </row>
    <row r="18" ht="15.75" customHeight="1">
      <c r="A18" s="25"/>
      <c r="B18" s="26"/>
      <c r="C18" s="25"/>
      <c r="D18" s="25"/>
      <c r="E18" s="25"/>
      <c r="F18" s="25"/>
      <c r="G18" s="26"/>
      <c r="H18" s="25"/>
      <c r="I18" s="25"/>
    </row>
    <row r="19" ht="15.75" customHeight="1">
      <c r="A19" s="25"/>
      <c r="B19" s="26"/>
      <c r="C19" s="25"/>
      <c r="D19" s="25"/>
      <c r="E19" s="25"/>
      <c r="F19" s="25"/>
      <c r="G19" s="25"/>
      <c r="H19" s="25"/>
      <c r="I19" s="25"/>
    </row>
    <row r="20" ht="15.75" customHeight="1">
      <c r="A20" s="25"/>
      <c r="B20" s="26"/>
      <c r="C20" s="25"/>
      <c r="D20" s="25"/>
      <c r="E20" s="25"/>
      <c r="F20" s="25"/>
      <c r="G20" s="25"/>
      <c r="H20" s="25"/>
      <c r="I20" s="25"/>
    </row>
    <row r="21" ht="15.75" customHeight="1">
      <c r="A21" s="25"/>
      <c r="B21" s="26"/>
      <c r="C21" s="25"/>
      <c r="D21" s="25"/>
      <c r="E21" s="25"/>
      <c r="F21" s="25"/>
      <c r="G21" s="25"/>
      <c r="H21" s="25"/>
      <c r="I21" s="2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
    <mergeCell ref="A3:A4"/>
    <mergeCell ref="B3:B4"/>
    <mergeCell ref="C3:V3"/>
    <mergeCell ref="W3:W4"/>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25.43"/>
    <col customWidth="1" min="2" max="2" width="17"/>
    <col customWidth="1" min="3" max="3" width="12.289999999999999"/>
    <col customWidth="1" min="4" max="4" width="5.71"/>
    <col customWidth="1" min="5" max="5" width="5.4299999999999997"/>
    <col customWidth="1" min="6" max="6" width="5.5700000000000003"/>
    <col customWidth="1" min="7" max="7" width="4.29"/>
    <col customWidth="1" min="8" max="9" width="4.8600000000000003"/>
    <col customWidth="1" min="10" max="10" width="6.1399999999999997"/>
    <col customWidth="1" min="11" max="11" width="5.5700000000000003"/>
    <col customWidth="1" min="12" max="12" width="4.8600000000000003"/>
    <col customWidth="1" min="13" max="13" width="4.5700000000000003"/>
    <col customWidth="1" min="14" max="16" width="4.8600000000000003"/>
    <col customWidth="1" min="17" max="17" width="3.29"/>
    <col customWidth="1" min="18" max="21" width="4.8600000000000003"/>
    <col customWidth="1" min="22" max="22" width="3.29"/>
    <col customWidth="1" min="23" max="24" width="4.8600000000000003"/>
    <col customWidth="1" min="25" max="30" width="3.4300000000000002"/>
    <col customWidth="1" min="31" max="31" width="3.8599999999999999"/>
    <col customWidth="1" min="32" max="38" width="10.710000000000001"/>
  </cols>
  <sheetData>
    <row r="1">
      <c r="A1" s="1" t="s">
        <v>9</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row>
    <row r="2">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row>
    <row r="3">
      <c r="A3" s="2" t="s">
        <v>1</v>
      </c>
      <c r="B3" s="2" t="s">
        <v>10</v>
      </c>
      <c r="C3" s="27" t="s">
        <v>3</v>
      </c>
      <c r="D3" s="5"/>
      <c r="E3" s="5"/>
      <c r="F3" s="5"/>
      <c r="G3" s="5"/>
      <c r="H3" s="5"/>
      <c r="I3" s="5"/>
      <c r="J3" s="5"/>
      <c r="K3" s="5"/>
      <c r="L3" s="5"/>
      <c r="M3" s="5"/>
      <c r="N3" s="5"/>
      <c r="O3" s="5"/>
      <c r="P3" s="5"/>
      <c r="Q3" s="5"/>
      <c r="R3" s="5"/>
      <c r="S3" s="5"/>
      <c r="T3" s="5"/>
      <c r="U3" s="5"/>
      <c r="V3" s="5"/>
      <c r="W3" s="5"/>
      <c r="X3" s="5"/>
      <c r="Y3" s="5"/>
      <c r="Z3" s="5"/>
      <c r="AA3" s="5"/>
      <c r="AB3" s="5"/>
      <c r="AC3" s="5"/>
      <c r="AD3" s="5"/>
      <c r="AE3" s="6"/>
      <c r="AF3" s="28" t="s">
        <v>4</v>
      </c>
    </row>
    <row r="4">
      <c r="A4" s="7"/>
      <c r="B4" s="7"/>
      <c r="C4" s="2">
        <v>1</v>
      </c>
      <c r="D4" s="2">
        <v>2</v>
      </c>
      <c r="E4" s="2">
        <v>3</v>
      </c>
      <c r="F4" s="2">
        <v>4</v>
      </c>
      <c r="G4" s="2">
        <v>5</v>
      </c>
      <c r="H4" s="2">
        <v>6</v>
      </c>
      <c r="I4" s="2">
        <v>7</v>
      </c>
      <c r="J4" s="2">
        <v>8</v>
      </c>
      <c r="K4" s="2">
        <v>9</v>
      </c>
      <c r="L4" s="2">
        <v>10</v>
      </c>
      <c r="M4" s="2">
        <v>11</v>
      </c>
      <c r="N4" s="2">
        <v>12</v>
      </c>
      <c r="O4" s="2">
        <v>13</v>
      </c>
      <c r="P4" s="2">
        <v>14</v>
      </c>
      <c r="Q4" s="2">
        <v>15</v>
      </c>
      <c r="R4" s="2">
        <v>16</v>
      </c>
      <c r="S4" s="2">
        <v>17</v>
      </c>
      <c r="T4" s="2">
        <v>18</v>
      </c>
      <c r="U4" s="2">
        <v>19</v>
      </c>
      <c r="V4" s="2">
        <v>20</v>
      </c>
      <c r="W4" s="3">
        <v>21</v>
      </c>
      <c r="X4" s="3">
        <v>22</v>
      </c>
      <c r="Y4" s="3">
        <v>23</v>
      </c>
      <c r="Z4" s="3">
        <v>24</v>
      </c>
      <c r="AA4" s="3">
        <v>25</v>
      </c>
      <c r="AB4" s="3">
        <v>26</v>
      </c>
      <c r="AC4" s="3">
        <v>27</v>
      </c>
      <c r="AD4" s="3">
        <v>28</v>
      </c>
      <c r="AE4" s="3">
        <v>29</v>
      </c>
      <c r="AF4" s="9"/>
    </row>
    <row r="5">
      <c r="A5" s="29" t="s">
        <v>11</v>
      </c>
      <c r="B5" s="30">
        <v>17</v>
      </c>
      <c r="C5" s="12"/>
      <c r="D5" s="14">
        <v>1</v>
      </c>
      <c r="E5" s="14"/>
      <c r="F5" s="14">
        <v>2</v>
      </c>
      <c r="G5" s="14">
        <v>3</v>
      </c>
      <c r="H5" s="14">
        <v>1</v>
      </c>
      <c r="I5" s="13"/>
      <c r="J5" s="13"/>
      <c r="K5" s="13"/>
      <c r="L5" s="14">
        <v>2</v>
      </c>
      <c r="M5" s="14">
        <v>2</v>
      </c>
      <c r="N5" s="14">
        <v>2</v>
      </c>
      <c r="O5" s="14">
        <v>1</v>
      </c>
      <c r="P5" s="14">
        <v>2</v>
      </c>
      <c r="Q5" s="14">
        <v>1</v>
      </c>
      <c r="R5" s="13"/>
      <c r="S5" s="14"/>
      <c r="T5" s="13"/>
      <c r="U5" s="13"/>
      <c r="V5" s="14"/>
      <c r="W5" s="13"/>
      <c r="X5" s="13"/>
      <c r="Y5" s="13"/>
      <c r="Z5" s="14"/>
      <c r="AA5" s="13"/>
      <c r="AB5" s="14"/>
      <c r="AC5" s="14"/>
      <c r="AD5" s="14"/>
      <c r="AE5" s="15"/>
      <c r="AF5" s="16">
        <f t="shared" ref="AF5:AF7" si="3">SUM(C5:AE5)</f>
        <v>17</v>
      </c>
    </row>
    <row r="6">
      <c r="A6" s="29" t="s">
        <v>12</v>
      </c>
      <c r="B6" s="19">
        <v>21</v>
      </c>
      <c r="C6" s="31"/>
      <c r="D6" s="32"/>
      <c r="E6" s="33">
        <v>1</v>
      </c>
      <c r="F6" s="33">
        <v>1</v>
      </c>
      <c r="G6" s="33"/>
      <c r="H6" s="32"/>
      <c r="I6" s="33"/>
      <c r="J6" s="33"/>
      <c r="K6" s="33"/>
      <c r="L6" s="32"/>
      <c r="M6" s="33"/>
      <c r="N6" s="33"/>
      <c r="O6" s="32"/>
      <c r="P6" s="33"/>
      <c r="Q6" s="33"/>
      <c r="R6" s="33"/>
      <c r="S6" s="32"/>
      <c r="T6" s="33"/>
      <c r="U6" s="32"/>
      <c r="V6" s="32"/>
      <c r="W6" s="32"/>
      <c r="X6" s="32"/>
      <c r="Y6" s="32"/>
      <c r="Z6" s="32"/>
      <c r="AA6" s="32"/>
      <c r="AB6" s="32"/>
      <c r="AC6" s="32"/>
      <c r="AD6" s="32"/>
      <c r="AE6" s="34"/>
      <c r="AF6" s="16">
        <f t="shared" si="3"/>
        <v>2</v>
      </c>
    </row>
    <row r="7">
      <c r="A7" s="29" t="s">
        <v>13</v>
      </c>
      <c r="B7" s="30">
        <v>21</v>
      </c>
      <c r="C7" s="35"/>
      <c r="D7" s="21"/>
      <c r="E7" s="21"/>
      <c r="F7" s="21"/>
      <c r="G7" s="20"/>
      <c r="H7" s="21"/>
      <c r="I7" s="20"/>
      <c r="J7" s="20"/>
      <c r="K7" s="21"/>
      <c r="L7" s="20"/>
      <c r="M7" s="21"/>
      <c r="N7" s="20"/>
      <c r="O7" s="20"/>
      <c r="P7" s="20"/>
      <c r="Q7" s="21"/>
      <c r="R7" s="21"/>
      <c r="S7" s="21"/>
      <c r="T7" s="21"/>
      <c r="U7" s="21"/>
      <c r="V7" s="20"/>
      <c r="W7" s="21"/>
      <c r="X7" s="20"/>
      <c r="Y7" s="20"/>
      <c r="Z7" s="20"/>
      <c r="AA7" s="20"/>
      <c r="AB7" s="20"/>
      <c r="AC7" s="20"/>
      <c r="AD7" s="20"/>
      <c r="AE7" s="22"/>
      <c r="AF7" s="16">
        <f t="shared" si="3"/>
        <v>0</v>
      </c>
    </row>
    <row r="8">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row>
    <row r="9">
      <c r="A9" s="23" t="s">
        <v>7</v>
      </c>
      <c r="B9" s="24">
        <f>SUM(B5:B8)</f>
        <v>59</v>
      </c>
      <c r="C9" s="24">
        <f t="shared" ref="C9:AE9" si="4">B9-SUM(C5:C7)</f>
        <v>59</v>
      </c>
      <c r="D9" s="24">
        <f t="shared" si="4"/>
        <v>58</v>
      </c>
      <c r="E9" s="24">
        <f t="shared" si="4"/>
        <v>57</v>
      </c>
      <c r="F9" s="24">
        <f t="shared" si="4"/>
        <v>54</v>
      </c>
      <c r="G9" s="24">
        <f t="shared" si="4"/>
        <v>51</v>
      </c>
      <c r="H9" s="24">
        <f t="shared" si="4"/>
        <v>50</v>
      </c>
      <c r="I9" s="24">
        <f t="shared" si="4"/>
        <v>50</v>
      </c>
      <c r="J9" s="24">
        <f t="shared" si="4"/>
        <v>50</v>
      </c>
      <c r="K9" s="24">
        <f t="shared" si="4"/>
        <v>50</v>
      </c>
      <c r="L9" s="24">
        <f t="shared" si="4"/>
        <v>48</v>
      </c>
      <c r="M9" s="24">
        <f t="shared" si="4"/>
        <v>46</v>
      </c>
      <c r="N9" s="24">
        <f t="shared" si="4"/>
        <v>44</v>
      </c>
      <c r="O9" s="24">
        <f t="shared" si="4"/>
        <v>43</v>
      </c>
      <c r="P9" s="24">
        <f t="shared" si="4"/>
        <v>41</v>
      </c>
      <c r="Q9" s="24">
        <f t="shared" si="4"/>
        <v>40</v>
      </c>
      <c r="R9" s="24">
        <f t="shared" si="4"/>
        <v>40</v>
      </c>
      <c r="S9" s="24">
        <f t="shared" si="4"/>
        <v>40</v>
      </c>
      <c r="T9" s="24">
        <f t="shared" si="4"/>
        <v>40</v>
      </c>
      <c r="U9" s="24">
        <f t="shared" si="4"/>
        <v>40</v>
      </c>
      <c r="V9" s="24">
        <f t="shared" si="4"/>
        <v>40</v>
      </c>
      <c r="W9" s="24">
        <f t="shared" si="4"/>
        <v>40</v>
      </c>
      <c r="X9" s="24">
        <f t="shared" si="4"/>
        <v>40</v>
      </c>
      <c r="Y9" s="24">
        <f t="shared" si="4"/>
        <v>40</v>
      </c>
      <c r="Z9" s="24">
        <f t="shared" si="4"/>
        <v>40</v>
      </c>
      <c r="AA9" s="24">
        <f t="shared" si="4"/>
        <v>40</v>
      </c>
      <c r="AB9" s="24">
        <f t="shared" si="4"/>
        <v>40</v>
      </c>
      <c r="AC9" s="24">
        <f t="shared" si="4"/>
        <v>40</v>
      </c>
      <c r="AD9" s="24">
        <f t="shared" si="4"/>
        <v>40</v>
      </c>
      <c r="AE9" s="24">
        <f t="shared" si="4"/>
        <v>40</v>
      </c>
    </row>
    <row r="10">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row>
    <row r="11">
      <c r="A11" s="23" t="s">
        <v>8</v>
      </c>
      <c r="B11" s="24">
        <f>SUM(B5:B7)</f>
        <v>59</v>
      </c>
      <c r="C11" s="24">
        <f t="shared" ref="C11:AE11" si="5">ROUND(B11-(SUM($B$5:$B$7)/29), 1)</f>
        <v>57</v>
      </c>
      <c r="D11" s="24">
        <f t="shared" si="5"/>
        <v>55</v>
      </c>
      <c r="E11" s="24">
        <f t="shared" si="5"/>
        <v>53</v>
      </c>
      <c r="F11" s="24">
        <f t="shared" si="5"/>
        <v>51</v>
      </c>
      <c r="G11" s="24">
        <f t="shared" si="5"/>
        <v>49</v>
      </c>
      <c r="H11" s="24">
        <f t="shared" si="5"/>
        <v>47</v>
      </c>
      <c r="I11" s="24">
        <f t="shared" si="5"/>
        <v>45</v>
      </c>
      <c r="J11" s="24">
        <f t="shared" si="5"/>
        <v>43</v>
      </c>
      <c r="K11" s="24">
        <f t="shared" si="5"/>
        <v>41</v>
      </c>
      <c r="L11" s="24">
        <f t="shared" si="5"/>
        <v>39</v>
      </c>
      <c r="M11" s="24">
        <f t="shared" si="5"/>
        <v>37</v>
      </c>
      <c r="N11" s="24">
        <f t="shared" si="5"/>
        <v>35</v>
      </c>
      <c r="O11" s="24">
        <f t="shared" si="5"/>
        <v>33</v>
      </c>
      <c r="P11" s="24">
        <f t="shared" si="5"/>
        <v>31</v>
      </c>
      <c r="Q11" s="24">
        <f t="shared" si="5"/>
        <v>29</v>
      </c>
      <c r="R11" s="24">
        <f t="shared" si="5"/>
        <v>27</v>
      </c>
      <c r="S11" s="24">
        <f t="shared" si="5"/>
        <v>25</v>
      </c>
      <c r="T11" s="24">
        <f t="shared" si="5"/>
        <v>23</v>
      </c>
      <c r="U11" s="24">
        <f t="shared" si="5"/>
        <v>21</v>
      </c>
      <c r="V11" s="24">
        <f t="shared" si="5"/>
        <v>19</v>
      </c>
      <c r="W11" s="24">
        <f t="shared" si="5"/>
        <v>17</v>
      </c>
      <c r="X11" s="24">
        <f t="shared" si="5"/>
        <v>15</v>
      </c>
      <c r="Y11" s="24">
        <f t="shared" si="5"/>
        <v>13</v>
      </c>
      <c r="Z11" s="24">
        <f t="shared" si="5"/>
        <v>11</v>
      </c>
      <c r="AA11" s="24">
        <f t="shared" si="5"/>
        <v>9</v>
      </c>
      <c r="AB11" s="24">
        <f t="shared" si="5"/>
        <v>7</v>
      </c>
      <c r="AC11" s="24">
        <f t="shared" si="5"/>
        <v>5</v>
      </c>
      <c r="AD11" s="24">
        <f t="shared" si="5"/>
        <v>3</v>
      </c>
      <c r="AE11" s="24">
        <f t="shared" si="5"/>
        <v>1</v>
      </c>
    </row>
    <row r="12">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row>
    <row r="13">
      <c r="A13" s="25"/>
      <c r="B13" s="26"/>
      <c r="C13" s="36"/>
      <c r="D13" s="36"/>
      <c r="E13" s="36"/>
      <c r="F13" s="36"/>
      <c r="G13" s="36"/>
      <c r="H13" s="36"/>
      <c r="I13" s="36"/>
      <c r="J13" s="24"/>
      <c r="K13" s="24"/>
      <c r="L13" s="24"/>
      <c r="M13" s="24"/>
      <c r="N13" s="24"/>
      <c r="O13" s="24"/>
      <c r="P13" s="24"/>
      <c r="Q13" s="24"/>
      <c r="R13" s="24"/>
      <c r="S13" s="24"/>
      <c r="T13" s="24"/>
      <c r="U13" s="24"/>
      <c r="V13" s="24"/>
      <c r="W13" s="24"/>
      <c r="X13" s="24"/>
      <c r="Y13" s="24"/>
      <c r="Z13" s="24"/>
      <c r="AA13" s="24"/>
      <c r="AB13" s="24"/>
      <c r="AC13" s="24"/>
      <c r="AD13" s="24"/>
      <c r="AE13" s="24"/>
    </row>
    <row r="14">
      <c r="A14" s="25"/>
      <c r="B14" s="26"/>
      <c r="C14" s="36"/>
      <c r="D14" s="36"/>
      <c r="E14" s="36"/>
      <c r="F14" s="36"/>
      <c r="G14" s="32"/>
      <c r="H14" s="36"/>
      <c r="I14" s="36"/>
      <c r="J14" s="24"/>
      <c r="K14" s="24"/>
      <c r="L14" s="24"/>
      <c r="M14" s="24"/>
      <c r="N14" s="24"/>
      <c r="O14" s="24"/>
      <c r="P14" s="24"/>
      <c r="Q14" s="24"/>
      <c r="R14" s="24"/>
      <c r="S14" s="24"/>
      <c r="T14" s="24"/>
      <c r="U14" s="24"/>
      <c r="V14" s="24"/>
      <c r="W14" s="24"/>
      <c r="X14" s="24"/>
      <c r="Y14" s="24"/>
      <c r="Z14" s="24"/>
      <c r="AA14" s="24"/>
      <c r="AB14" s="24"/>
      <c r="AC14" s="24"/>
      <c r="AD14" s="24"/>
      <c r="AE14" s="24"/>
    </row>
    <row r="15">
      <c r="A15" s="25"/>
      <c r="B15" s="26"/>
      <c r="C15" s="36"/>
      <c r="D15" s="36"/>
      <c r="E15" s="36"/>
      <c r="F15" s="36"/>
      <c r="G15" s="32"/>
      <c r="H15" s="36"/>
      <c r="I15" s="36"/>
      <c r="J15" s="24"/>
      <c r="K15" s="24"/>
      <c r="L15" s="24"/>
      <c r="M15" s="24"/>
      <c r="N15" s="24"/>
      <c r="O15" s="24"/>
      <c r="P15" s="24"/>
      <c r="Q15" s="24"/>
      <c r="R15" s="24"/>
      <c r="S15" s="24"/>
      <c r="T15" s="24"/>
      <c r="U15" s="24"/>
      <c r="V15" s="24"/>
      <c r="W15" s="24"/>
      <c r="X15" s="24"/>
      <c r="Y15" s="24"/>
      <c r="Z15" s="24"/>
      <c r="AA15" s="24"/>
      <c r="AB15" s="24"/>
      <c r="AC15" s="24"/>
      <c r="AD15" s="24"/>
      <c r="AE15" s="24"/>
    </row>
    <row r="16">
      <c r="A16" s="25"/>
      <c r="B16" s="26"/>
      <c r="C16" s="36"/>
      <c r="D16" s="36"/>
      <c r="E16" s="36"/>
      <c r="F16" s="36"/>
      <c r="G16" s="32"/>
      <c r="H16" s="36"/>
      <c r="I16" s="36"/>
      <c r="J16" s="24"/>
      <c r="K16" s="24"/>
      <c r="L16" s="24"/>
      <c r="M16" s="24"/>
      <c r="N16" s="24"/>
      <c r="O16" s="24"/>
      <c r="P16" s="24"/>
      <c r="Q16" s="24"/>
      <c r="R16" s="24"/>
      <c r="S16" s="24"/>
      <c r="T16" s="24"/>
      <c r="U16" s="24"/>
      <c r="V16" s="24"/>
      <c r="W16" s="24"/>
      <c r="X16" s="24"/>
      <c r="Y16" s="24"/>
      <c r="Z16" s="24"/>
      <c r="AA16" s="24"/>
      <c r="AB16" s="24"/>
      <c r="AC16" s="24"/>
      <c r="AD16" s="24"/>
      <c r="AE16" s="24"/>
    </row>
    <row r="17">
      <c r="A17" s="25"/>
      <c r="B17" s="26"/>
      <c r="C17" s="36"/>
      <c r="D17" s="36"/>
      <c r="E17" s="36"/>
      <c r="F17" s="36"/>
      <c r="G17" s="32"/>
      <c r="H17" s="36"/>
      <c r="I17" s="36"/>
      <c r="J17" s="24"/>
      <c r="K17" s="24"/>
      <c r="L17" s="24"/>
      <c r="M17" s="24"/>
      <c r="N17" s="24"/>
      <c r="O17" s="24"/>
      <c r="P17" s="24"/>
      <c r="Q17" s="24"/>
      <c r="R17" s="24"/>
      <c r="S17" s="24"/>
      <c r="T17" s="24"/>
      <c r="U17" s="24"/>
      <c r="V17" s="24"/>
      <c r="W17" s="24"/>
      <c r="X17" s="24"/>
      <c r="Y17" s="24"/>
      <c r="Z17" s="24"/>
      <c r="AA17" s="24"/>
      <c r="AB17" s="24"/>
      <c r="AC17" s="24"/>
      <c r="AD17" s="24"/>
      <c r="AE17" s="24"/>
    </row>
    <row r="18" ht="15.75" customHeight="1">
      <c r="A18" s="25"/>
      <c r="B18" s="26"/>
      <c r="C18" s="36"/>
      <c r="D18" s="36"/>
      <c r="E18" s="36"/>
      <c r="F18" s="36"/>
      <c r="G18" s="32"/>
      <c r="H18" s="36"/>
      <c r="I18" s="36"/>
      <c r="J18" s="24"/>
      <c r="K18" s="24"/>
      <c r="L18" s="24"/>
      <c r="M18" s="24"/>
      <c r="N18" s="24"/>
      <c r="O18" s="24"/>
      <c r="P18" s="24"/>
      <c r="Q18" s="24"/>
      <c r="R18" s="24"/>
      <c r="S18" s="24"/>
      <c r="T18" s="24"/>
      <c r="U18" s="24"/>
      <c r="V18" s="24"/>
      <c r="W18" s="24"/>
      <c r="X18" s="24"/>
      <c r="Y18" s="24"/>
      <c r="Z18" s="24"/>
      <c r="AA18" s="24"/>
      <c r="AB18" s="24"/>
      <c r="AC18" s="24"/>
      <c r="AD18" s="24"/>
      <c r="AE18" s="24"/>
    </row>
    <row r="19" ht="15.75" customHeight="1">
      <c r="A19" s="25"/>
      <c r="B19" s="26"/>
      <c r="C19" s="36"/>
      <c r="D19" s="36"/>
      <c r="E19" s="36"/>
      <c r="F19" s="36"/>
      <c r="G19" s="32"/>
      <c r="H19" s="36"/>
      <c r="I19" s="36"/>
      <c r="J19" s="24"/>
      <c r="K19" s="24"/>
      <c r="L19" s="24"/>
      <c r="M19" s="24"/>
      <c r="N19" s="24"/>
      <c r="O19" s="24"/>
      <c r="P19" s="24"/>
      <c r="Q19" s="24"/>
      <c r="R19" s="24"/>
      <c r="S19" s="24"/>
      <c r="T19" s="24"/>
      <c r="U19" s="24"/>
      <c r="V19" s="24"/>
      <c r="W19" s="24"/>
      <c r="X19" s="24"/>
      <c r="Y19" s="24"/>
      <c r="Z19" s="24"/>
      <c r="AA19" s="24"/>
      <c r="AB19" s="24"/>
      <c r="AC19" s="24"/>
      <c r="AD19" s="24"/>
      <c r="AE19" s="24"/>
    </row>
    <row r="20" ht="15.75" customHeight="1">
      <c r="A20" s="25"/>
      <c r="B20" s="26"/>
      <c r="C20" s="36"/>
      <c r="D20" s="36"/>
      <c r="E20" s="36"/>
      <c r="F20" s="36"/>
      <c r="G20" s="36"/>
      <c r="H20" s="36"/>
      <c r="I20" s="36"/>
      <c r="J20" s="24"/>
      <c r="K20" s="24"/>
      <c r="L20" s="24"/>
      <c r="M20" s="24"/>
      <c r="N20" s="24"/>
      <c r="O20" s="24"/>
      <c r="P20" s="24"/>
      <c r="Q20" s="24"/>
      <c r="R20" s="24"/>
      <c r="S20" s="24"/>
      <c r="T20" s="24"/>
      <c r="U20" s="24"/>
      <c r="V20" s="24"/>
      <c r="W20" s="24"/>
      <c r="X20" s="24"/>
      <c r="Y20" s="24"/>
      <c r="Z20" s="24"/>
      <c r="AA20" s="24"/>
      <c r="AB20" s="24"/>
      <c r="AC20" s="24"/>
      <c r="AD20" s="24"/>
      <c r="AE20" s="24"/>
    </row>
    <row r="21" ht="15.75" customHeight="1">
      <c r="A21" s="25"/>
      <c r="B21" s="26"/>
      <c r="C21" s="36"/>
      <c r="D21" s="36"/>
      <c r="E21" s="36"/>
      <c r="F21" s="36"/>
      <c r="G21" s="36"/>
      <c r="H21" s="36"/>
      <c r="I21" s="36"/>
      <c r="J21" s="24"/>
      <c r="K21" s="24"/>
      <c r="L21" s="24"/>
      <c r="M21" s="24"/>
      <c r="N21" s="24"/>
      <c r="O21" s="24"/>
      <c r="P21" s="24"/>
      <c r="Q21" s="24"/>
      <c r="R21" s="24"/>
      <c r="S21" s="24"/>
      <c r="T21" s="24"/>
      <c r="U21" s="24"/>
      <c r="V21" s="24"/>
      <c r="W21" s="24"/>
      <c r="X21" s="24"/>
      <c r="Y21" s="24"/>
      <c r="Z21" s="24"/>
      <c r="AA21" s="24"/>
      <c r="AB21" s="24"/>
      <c r="AC21" s="24"/>
      <c r="AD21" s="24"/>
      <c r="AE21" s="24"/>
    </row>
    <row r="22" ht="15.75" customHeight="1">
      <c r="A22" s="25"/>
      <c r="B22" s="26"/>
      <c r="C22" s="36"/>
      <c r="D22" s="36"/>
      <c r="E22" s="36"/>
      <c r="F22" s="36"/>
      <c r="G22" s="36"/>
      <c r="H22" s="36"/>
      <c r="I22" s="36"/>
      <c r="J22" s="24"/>
      <c r="K22" s="24"/>
      <c r="L22" s="24"/>
      <c r="M22" s="24"/>
      <c r="N22" s="24"/>
      <c r="O22" s="24"/>
      <c r="P22" s="24"/>
      <c r="Q22" s="24"/>
      <c r="R22" s="24"/>
      <c r="S22" s="24"/>
      <c r="T22" s="24"/>
      <c r="U22" s="24"/>
      <c r="V22" s="24"/>
      <c r="W22" s="24"/>
      <c r="X22" s="24"/>
      <c r="Y22" s="24"/>
      <c r="Z22" s="24"/>
      <c r="AA22" s="24"/>
      <c r="AB22" s="24"/>
      <c r="AC22" s="24"/>
      <c r="AD22" s="24"/>
      <c r="AE22" s="24"/>
    </row>
    <row r="23" ht="15.75"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row>
    <row r="24" ht="15.75" customHeight="1">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row>
    <row r="25" ht="15.75" customHeight="1">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row>
    <row r="26" ht="15.75" customHeight="1">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row>
    <row r="27" ht="15.75" customHeight="1">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row>
    <row r="28" ht="15.75" customHeight="1">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row>
    <row r="29" ht="15.75" customHeight="1">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ht="15.75" customHeight="1">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ht="15.75" customHeight="1">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row>
    <row r="32" ht="15.75"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row>
    <row r="33" ht="15.75" customHeight="1">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ht="15.75" customHeight="1">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ht="15.75" customHeight="1">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ht="15.75" customHeight="1">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ht="15.75" customHeight="1">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row>
    <row r="38" ht="15.75" customHeight="1">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ht="15.75" customHeight="1">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ht="15.75" customHeight="1">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ht="15.75"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row>
    <row r="42" ht="15.75"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row>
    <row r="43" ht="15.75" customHeight="1">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row>
    <row r="44" ht="15.75" customHeight="1">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row>
    <row r="45" ht="15.75" customHeight="1">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row>
    <row r="46" ht="15.75" customHeight="1">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row>
    <row r="47" ht="15.75" customHeight="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row>
    <row r="48" ht="15.75"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row>
    <row r="49" ht="15.75" customHeight="1">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row>
    <row r="50" ht="15.75" customHeight="1">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row>
    <row r="51" ht="15.75" customHeight="1">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row>
    <row r="52" ht="15.75" customHeight="1">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row>
    <row r="53" ht="15.75" customHeight="1">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row>
    <row r="54" ht="15.75"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row>
    <row r="55" ht="15.75" customHeight="1">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row>
    <row r="56" ht="15.75" customHeight="1">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row>
    <row r="57" ht="15.75" customHeight="1">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row>
    <row r="58" ht="15.75" customHeight="1">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row>
    <row r="59" ht="15.75" customHeight="1">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row>
    <row r="60" ht="15.75"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row>
    <row r="61" ht="15.75" customHeight="1">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row>
    <row r="62" ht="15.75" customHeight="1">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row>
    <row r="63" ht="15.75" customHeight="1">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row>
    <row r="64" ht="15.75"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row>
    <row r="65" ht="15.75" customHeight="1">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row>
    <row r="66" ht="15.75" customHeight="1">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row>
    <row r="67" ht="15.75" customHeight="1">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row>
    <row r="68" ht="15.75" customHeight="1">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row>
    <row r="69" ht="15.75"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row>
    <row r="70" ht="15.75" customHeight="1">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row>
    <row r="71" ht="15.75" customHeight="1">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row>
    <row r="72" ht="15.75" customHeight="1">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row>
    <row r="73" ht="15.75" customHeight="1">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row>
    <row r="74" ht="15.75" customHeight="1">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row>
    <row r="75" ht="15.75" customHeight="1">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row>
    <row r="76" ht="15.75" customHeight="1">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row>
    <row r="77" ht="15.75" customHeight="1">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row>
    <row r="78" ht="15.75" customHeight="1">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row>
    <row r="79" ht="15.75" customHeight="1">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row>
    <row r="80" ht="15.75" customHeight="1">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row>
    <row r="81" ht="15.75" customHeight="1">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row>
    <row r="82" ht="15.75" customHeight="1">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row>
    <row r="83" ht="15.75" customHeight="1">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row>
    <row r="84" ht="15.75" customHeight="1">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row>
    <row r="85" ht="15.75" customHeight="1">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row>
    <row r="86" ht="15.75" customHeight="1">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row>
    <row r="87" ht="15.75" customHeight="1">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row>
    <row r="88" ht="15.75" customHeight="1">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row>
    <row r="89" ht="15.75" customHeight="1">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row>
    <row r="90" ht="15.75" customHeight="1">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row>
    <row r="91" ht="15.75" customHeight="1">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row>
    <row r="92" ht="15.75" customHeight="1">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row>
    <row r="93" ht="15.75" customHeight="1">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row>
    <row r="94" ht="15.75" customHeight="1">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row>
    <row r="95" ht="15.75" customHeight="1">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row>
    <row r="96" ht="15.75" customHeight="1">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row>
    <row r="97" ht="15.75" customHeight="1">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row>
    <row r="98" ht="15.75" customHeight="1">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row>
    <row r="99" ht="15.75" customHeight="1">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row>
    <row r="100" ht="15.75" customHeight="1">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row>
    <row r="101" ht="15.75" customHeight="1">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row>
    <row r="102" ht="15.75" customHeight="1">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row>
    <row r="103" ht="15.75" customHeight="1">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row>
    <row r="104" ht="15.75" customHeight="1">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row>
    <row r="105" ht="15.75" customHeight="1">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row>
    <row r="106" ht="15.75" customHeight="1">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row>
    <row r="107" ht="15.75" customHeight="1">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row>
    <row r="108" ht="15.75"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row>
    <row r="109" ht="15.75" customHeight="1">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row>
    <row r="110" ht="15.75" customHeight="1">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row>
    <row r="111" ht="15.75" customHeight="1">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row>
    <row r="112" ht="15.75"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row>
    <row r="113" ht="15.75" customHeight="1">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row>
    <row r="114" ht="15.75" customHeight="1">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row>
    <row r="115" ht="15.75"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row>
    <row r="116" ht="15.75" customHeight="1">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row>
    <row r="117" ht="15.75" customHeight="1">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row>
    <row r="118" ht="15.75" customHeight="1">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row>
    <row r="119" ht="15.75" customHeight="1">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row>
    <row r="120" ht="15.75" customHeight="1">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row>
    <row r="121" ht="15.75" customHeight="1">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row>
    <row r="122" ht="15.75" customHeight="1">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row>
    <row r="123" ht="15.75" customHeight="1">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row>
    <row r="124" ht="15.75" customHeight="1">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row>
    <row r="125" ht="15.75" customHeight="1">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row>
    <row r="126" ht="15.75" customHeight="1">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row>
    <row r="127" ht="15.75" customHeight="1">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row>
    <row r="128" ht="15.75" customHeight="1">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row>
    <row r="129" ht="15.75" customHeight="1">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row>
    <row r="130" ht="15.75" customHeight="1">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row>
    <row r="131" ht="15.75" customHeight="1">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row>
    <row r="132" ht="15.75" customHeight="1">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row>
    <row r="133" ht="15.75" customHeight="1">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row>
    <row r="134" ht="15.75" customHeight="1">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row>
    <row r="135" ht="15.75" customHeight="1">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row>
    <row r="136" ht="15.75" customHeight="1">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row>
    <row r="137" ht="15.75" customHeight="1">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row>
    <row r="138" ht="15.75" customHeight="1">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row>
    <row r="139" ht="15.75" customHeight="1">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row>
    <row r="140" ht="15.75" customHeight="1">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row>
    <row r="141" ht="15.75" customHeight="1">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row>
    <row r="142" ht="15.75" customHeight="1">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row>
    <row r="143" ht="15.75" customHeight="1">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row>
    <row r="144" ht="15.75" customHeight="1">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row>
    <row r="145" ht="15.75" customHeight="1">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row>
    <row r="146" ht="15.75" customHeight="1">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row>
    <row r="147" ht="15.75" customHeight="1">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row>
    <row r="148" ht="15.75" customHeight="1">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row>
    <row r="149" ht="15.75" customHeight="1">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row>
    <row r="150" ht="15.75" customHeight="1">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row>
    <row r="151" ht="15.75" customHeight="1">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row>
    <row r="152" ht="15.75" customHeight="1">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row>
    <row r="153" ht="15.75" customHeight="1">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row>
    <row r="154" ht="15.75" customHeight="1">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row>
    <row r="155" ht="15.75" customHeight="1">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row>
    <row r="156" ht="15.75" customHeight="1">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row>
    <row r="157" ht="15.75" customHeight="1">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row>
    <row r="158" ht="15.75" customHeight="1">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row>
    <row r="159" ht="15.75" customHeight="1">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row>
    <row r="160" ht="15.75" customHeight="1">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row>
    <row r="161" ht="15.75" customHeight="1">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row>
    <row r="162" ht="15.75" customHeight="1">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row>
    <row r="163" ht="15.75" customHeight="1">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row>
    <row r="164" ht="15.75" customHeight="1">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row>
    <row r="165" ht="15.75" customHeight="1">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row>
    <row r="166" ht="15.75" customHeight="1">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row>
    <row r="167" ht="15.75" customHeight="1">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row>
    <row r="168" ht="15.75" customHeight="1">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row>
    <row r="169" ht="15.75" customHeight="1">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row>
    <row r="170" ht="15.75" customHeight="1">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row>
    <row r="171" ht="15.75" customHeight="1">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row>
    <row r="172" ht="15.75" customHeight="1">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row>
    <row r="173" ht="15.75" customHeight="1">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row>
    <row r="174" ht="15.75" customHeight="1">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row>
    <row r="175" ht="15.75" customHeight="1">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row>
    <row r="176" ht="15.75" customHeight="1">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row>
    <row r="177" ht="15.75" customHeight="1">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row>
    <row r="178" ht="15.75" customHeight="1">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row>
    <row r="179" ht="15.75" customHeight="1">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row>
    <row r="180" ht="15.75" customHeight="1">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row>
    <row r="181" ht="15.75" customHeight="1">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row>
    <row r="182" ht="15.75" customHeight="1">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row>
    <row r="183" ht="15.75" customHeight="1">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row>
    <row r="184" ht="15.75" customHeight="1">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row>
    <row r="185" ht="15.75" customHeight="1">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row>
    <row r="186" ht="15.75" customHeight="1">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row>
    <row r="187" ht="15.75" customHeight="1">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row>
    <row r="188" ht="15.75" customHeight="1">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row>
    <row r="189" ht="15.75" customHeight="1">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row>
    <row r="190" ht="15.75" customHeight="1">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row>
    <row r="191" ht="15.75" customHeight="1">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row>
    <row r="192" ht="15.75" customHeight="1">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row>
    <row r="193" ht="15.75" customHeight="1">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row>
    <row r="194" ht="15.75" customHeight="1">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row>
    <row r="195" ht="15.75" customHeight="1">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row>
    <row r="196" ht="15.75" customHeight="1">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row>
    <row r="197" ht="15.75" customHeight="1">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row>
    <row r="198" ht="15.75" customHeight="1">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row>
    <row r="199" ht="15.75" customHeight="1">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row>
    <row r="200" ht="15.75" customHeight="1">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row>
    <row r="201" ht="15.75" customHeight="1">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row>
    <row r="202" ht="15.75" customHeight="1">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row>
    <row r="203" ht="15.75" customHeight="1">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row>
    <row r="204" ht="15.75" customHeight="1">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row>
    <row r="205" ht="15.75" customHeight="1">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row>
    <row r="206" ht="15.75" customHeight="1">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row>
    <row r="207" ht="15.75" customHeight="1">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row>
    <row r="208" ht="15.75" customHeight="1">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row>
    <row r="209" ht="15.75" customHeight="1">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row>
    <row r="210" ht="15.75" customHeight="1">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row>
    <row r="211" ht="15.75" customHeight="1">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row>
    <row r="212" ht="15.75" customHeight="1">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row>
    <row r="213" ht="15.75" customHeight="1">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row>
    <row r="214" ht="15.75" customHeight="1">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row>
    <row r="215" ht="15.75" customHeight="1">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row>
    <row r="216" ht="15.75" customHeight="1">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row>
    <row r="217" ht="15.75" customHeight="1">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row>
    <row r="218" ht="15.75" customHeight="1">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row>
    <row r="219" ht="15.75" customHeight="1">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row>
    <row r="220" ht="15.75" customHeight="1">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row>
    <row r="221" ht="15.75" customHeight="1">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row>
    <row r="222" ht="15.75" customHeight="1">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row>
    <row r="223" ht="15.75" customHeight="1">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row>
    <row r="224" ht="15.75" customHeight="1">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row>
    <row r="225" ht="15.75" customHeight="1">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row>
    <row r="226" ht="15.75" customHeight="1">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row>
    <row r="227" ht="15.75" customHeight="1">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row>
    <row r="228" ht="15.75" customHeight="1">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row>
    <row r="229" ht="15.75" customHeight="1">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row>
    <row r="230" ht="15.75" customHeight="1">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row>
    <row r="231" ht="15.75" customHeight="1">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row>
    <row r="232" ht="15.75" customHeight="1">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row>
    <row r="233" ht="15.75" customHeight="1">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row>
    <row r="234" ht="15.75" customHeight="1">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row>
    <row r="235" ht="15.75" customHeight="1">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row>
    <row r="236" ht="15.75" customHeight="1">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row>
    <row r="237" ht="15.75" customHeight="1">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row>
    <row r="238" ht="15.75" customHeight="1">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row>
    <row r="239" ht="15.75" customHeight="1">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row>
    <row r="240" ht="15.75" customHeight="1">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row>
    <row r="241" ht="15.75" customHeight="1">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row>
    <row r="242" ht="15.75" customHeight="1">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row>
    <row r="243" ht="15.75" customHeight="1">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row>
    <row r="244" ht="15.75" customHeight="1">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row>
    <row r="245" ht="15.75" customHeight="1">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row>
    <row r="246" ht="15.75" customHeight="1">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row>
    <row r="247" ht="15.75" customHeight="1">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row>
    <row r="248" ht="15.75" customHeight="1">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row>
    <row r="249" ht="15.75" customHeight="1">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row>
    <row r="250" ht="15.75" customHeight="1">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row>
    <row r="251" ht="15.75" customHeight="1">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row>
    <row r="252" ht="15.75" customHeight="1">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row>
    <row r="253" ht="15.75" customHeight="1">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row>
    <row r="254" ht="15.75" customHeight="1">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row>
    <row r="255" ht="15.75" customHeight="1">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row>
    <row r="256" ht="15.75" customHeight="1">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row>
    <row r="257" ht="15.75" customHeight="1">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row>
    <row r="258" ht="15.75" customHeight="1">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row>
    <row r="259" ht="15.75" customHeight="1">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row>
    <row r="260" ht="15.75" customHeight="1">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row>
    <row r="261" ht="15.75" customHeight="1">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row>
    <row r="262" ht="15.75" customHeight="1">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row>
    <row r="263" ht="15.75" customHeight="1">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row>
    <row r="264" ht="15.75" customHeight="1">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row>
    <row r="265" ht="15.75" customHeight="1">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row>
    <row r="266" ht="15.75" customHeight="1">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row>
    <row r="267" ht="15.75" customHeight="1">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row>
    <row r="268" ht="15.75" customHeight="1">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row>
    <row r="269" ht="15.75" customHeight="1">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row>
    <row r="270" ht="15.75" customHeight="1">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row>
    <row r="271" ht="15.75" customHeight="1">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row>
    <row r="272" ht="15.75" customHeight="1">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row>
    <row r="273" ht="15.75" customHeight="1">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row>
    <row r="274" ht="15.75" customHeight="1">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row>
    <row r="275" ht="15.75" customHeight="1">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row>
    <row r="276" ht="15.75" customHeight="1">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row>
    <row r="277" ht="15.75" customHeight="1">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row>
    <row r="278" ht="15.75" customHeight="1">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row>
    <row r="279" ht="15.75" customHeight="1">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row>
    <row r="280" ht="15.75" customHeight="1">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row>
    <row r="281" ht="15.75" customHeight="1">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row>
    <row r="282" ht="15.75" customHeight="1">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row>
    <row r="283" ht="15.75" customHeight="1">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row>
    <row r="284" ht="15.75" customHeight="1">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row>
    <row r="285" ht="15.75" customHeight="1">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row>
    <row r="286" ht="15.75" customHeight="1">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row>
    <row r="287" ht="15.75" customHeight="1">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row>
    <row r="288" ht="15.75" customHeight="1">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row>
    <row r="289" ht="15.75" customHeight="1">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row>
    <row r="290" ht="15.75" customHeight="1">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row>
    <row r="291" ht="15.75" customHeight="1">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row>
    <row r="292" ht="15.75" customHeight="1">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row>
    <row r="293" ht="15.75" customHeight="1">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row>
    <row r="294" ht="15.75" customHeight="1">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row>
    <row r="295" ht="15.75" customHeight="1">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row>
    <row r="296" ht="15.75" customHeight="1">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row>
    <row r="297" ht="15.75" customHeight="1">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row>
    <row r="298" ht="15.75" customHeight="1">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row>
    <row r="299" ht="15.75" customHeight="1">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row>
    <row r="300" ht="15.75" customHeight="1">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row>
    <row r="301" ht="15.75" customHeight="1">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row>
    <row r="302" ht="15.75" customHeight="1">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row>
    <row r="303" ht="15.75" customHeight="1">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row>
    <row r="304" ht="15.75" customHeight="1">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row>
    <row r="305" ht="15.75" customHeight="1">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row>
    <row r="306" ht="15.75" customHeight="1">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row>
    <row r="307" ht="15.75" customHeight="1">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row>
    <row r="308" ht="15.75" customHeight="1">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row>
    <row r="309" ht="15.75" customHeight="1">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row>
    <row r="310" ht="15.75" customHeight="1">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row>
    <row r="311" ht="15.75" customHeight="1">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row>
    <row r="312" ht="15.75" customHeight="1">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row>
    <row r="313" ht="15.75" customHeight="1">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row>
    <row r="314" ht="15.75" customHeight="1">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row>
    <row r="315" ht="15.75" customHeight="1">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row>
    <row r="316" ht="15.75" customHeight="1">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row>
    <row r="317" ht="15.75" customHeight="1">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row>
    <row r="318" ht="15.75" customHeight="1">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row>
    <row r="319" ht="15.75" customHeight="1">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row>
    <row r="320" ht="15.75" customHeight="1">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row>
    <row r="321" ht="15.75" customHeight="1">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row>
    <row r="322" ht="15.75" customHeight="1">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row>
    <row r="323" ht="15.75" customHeight="1">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row>
    <row r="324" ht="15.75" customHeight="1">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row>
    <row r="325" ht="15.75" customHeight="1">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row>
    <row r="326" ht="15.75" customHeight="1">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row>
    <row r="327" ht="15.75" customHeight="1">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row>
    <row r="328" ht="15.75" customHeight="1">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row>
    <row r="329" ht="15.75" customHeight="1">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row>
    <row r="330" ht="15.75" customHeight="1">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row>
    <row r="331" ht="15.75" customHeight="1">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row>
    <row r="332" ht="15.75" customHeight="1">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row>
    <row r="333" ht="15.75" customHeight="1">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row>
    <row r="334" ht="15.75" customHeight="1">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row>
    <row r="335" ht="15.75" customHeight="1">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row>
    <row r="336" ht="15.75" customHeight="1">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row>
    <row r="337" ht="15.75" customHeight="1">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row>
    <row r="338" ht="15.75" customHeight="1">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row>
    <row r="339" ht="15.75" customHeight="1">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row>
    <row r="340" ht="15.75" customHeight="1">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row>
    <row r="341" ht="15.75" customHeight="1">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row>
    <row r="342" ht="15.75" customHeight="1">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row>
    <row r="343" ht="15.75" customHeight="1">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row>
    <row r="344" ht="15.75" customHeight="1">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row>
    <row r="345" ht="15.75" customHeight="1">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row>
    <row r="346" ht="15.75" customHeight="1">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row>
    <row r="347" ht="15.75" customHeight="1">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row>
    <row r="348" ht="15.75" customHeight="1">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row>
    <row r="349" ht="15.75" customHeight="1">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row>
    <row r="350" ht="15.75" customHeight="1">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row>
    <row r="351" ht="15.75" customHeight="1">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row>
    <row r="352" ht="15.75" customHeight="1">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row>
    <row r="353" ht="15.75" customHeight="1">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row>
    <row r="354" ht="15.75" customHeight="1">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row>
    <row r="355" ht="15.75" customHeight="1">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row>
    <row r="356" ht="15.75" customHeight="1">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row>
    <row r="357" ht="15.75" customHeight="1">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row>
    <row r="358" ht="15.75" customHeight="1">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row>
    <row r="359" ht="15.75" customHeight="1">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row>
    <row r="360" ht="15.75" customHeight="1">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row>
    <row r="361" ht="15.75" customHeight="1">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row>
    <row r="362" ht="15.75" customHeight="1">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row>
    <row r="363" ht="15.75" customHeight="1">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row>
    <row r="364" ht="15.75" customHeight="1">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row>
    <row r="365" ht="15.75" customHeight="1">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row>
    <row r="366" ht="15.75" customHeight="1">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row>
    <row r="367" ht="15.75" customHeight="1">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row>
    <row r="368" ht="15.75" customHeight="1">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row>
    <row r="369" ht="15.75" customHeight="1">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row>
    <row r="370" ht="15.75" customHeight="1">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row>
    <row r="371" ht="15.75" customHeight="1">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row>
    <row r="372" ht="15.75" customHeight="1">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row>
    <row r="373" ht="15.75" customHeight="1">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row>
    <row r="374" ht="15.75" customHeight="1">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row>
    <row r="375" ht="15.75" customHeight="1">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row>
    <row r="376" ht="15.75" customHeight="1">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row>
    <row r="377" ht="15.75" customHeight="1">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row>
    <row r="378" ht="15.75" customHeight="1">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row>
    <row r="379" ht="15.75" customHeight="1">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row>
    <row r="380" ht="15.75" customHeight="1">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row>
    <row r="381" ht="15.75" customHeight="1">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row>
    <row r="382" ht="15.75" customHeight="1">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row>
    <row r="383" ht="15.75" customHeight="1">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row>
    <row r="384" ht="15.75" customHeight="1">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row>
    <row r="385" ht="15.75" customHeight="1">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row>
    <row r="386" ht="15.75" customHeight="1">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row>
    <row r="387" ht="15.75" customHeight="1">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row>
    <row r="388" ht="15.75" customHeight="1">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row>
    <row r="389" ht="15.75" customHeight="1">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row>
    <row r="390" ht="15.75" customHeight="1">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row>
    <row r="391" ht="15.75" customHeight="1">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row>
    <row r="392" ht="15.75" customHeight="1">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row>
    <row r="393" ht="15.75" customHeight="1">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row>
    <row r="394" ht="15.75" customHeight="1">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row>
    <row r="395" ht="15.75" customHeight="1">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row>
    <row r="396" ht="15.75" customHeight="1">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row>
    <row r="397" ht="15.75" customHeight="1">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row>
    <row r="398" ht="15.75" customHeight="1">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row>
    <row r="399" ht="15.75" customHeight="1">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row>
    <row r="400" ht="15.75" customHeight="1">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row>
    <row r="401" ht="15.75" customHeight="1">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row>
    <row r="402" ht="15.75" customHeight="1">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row>
    <row r="403" ht="15.75" customHeight="1">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row>
    <row r="404" ht="15.75" customHeight="1">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row>
    <row r="405" ht="15.75" customHeight="1">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row>
    <row r="406" ht="15.75" customHeight="1">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row>
    <row r="407" ht="15.75" customHeight="1">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row>
    <row r="408" ht="15.75" customHeight="1">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row>
    <row r="409" ht="15.75" customHeight="1">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row>
    <row r="410" ht="15.75" customHeight="1">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row>
    <row r="411" ht="15.75" customHeight="1">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row>
    <row r="412" ht="15.75" customHeight="1">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row>
    <row r="413" ht="15.75" customHeight="1">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row>
    <row r="414" ht="15.75" customHeight="1">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row>
    <row r="415" ht="15.75" customHeight="1">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row>
    <row r="416" ht="15.75" customHeight="1">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row>
    <row r="417" ht="15.75" customHeight="1">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row>
    <row r="418" ht="15.75" customHeight="1">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row>
    <row r="419" ht="15.75" customHeight="1">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row>
    <row r="420" ht="15.75" customHeight="1">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row>
    <row r="421" ht="15.75" customHeight="1">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row>
    <row r="422" ht="15.75" customHeight="1">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row>
    <row r="423" ht="15.75" customHeight="1">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row>
    <row r="424" ht="15.75" customHeight="1">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row>
    <row r="425" ht="15.75" customHeight="1">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row>
    <row r="426" ht="15.75" customHeight="1">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row>
    <row r="427" ht="15.75" customHeight="1">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row>
    <row r="428" ht="15.75" customHeight="1">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row>
    <row r="429" ht="15.75" customHeight="1">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row>
    <row r="430" ht="15.75" customHeight="1">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row>
    <row r="431" ht="15.75" customHeight="1">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row>
    <row r="432" ht="15.75" customHeight="1">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row>
    <row r="433" ht="15.75" customHeight="1">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row>
    <row r="434" ht="15.75" customHeight="1">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row>
    <row r="435" ht="15.75" customHeight="1">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row>
    <row r="436" ht="15.75" customHeight="1">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row>
    <row r="437" ht="15.75" customHeight="1">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row>
    <row r="438" ht="15.75" customHeight="1">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row>
    <row r="439" ht="15.75" customHeight="1">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row>
    <row r="440" ht="15.75" customHeight="1">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row>
    <row r="441" ht="15.75" customHeight="1">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row>
    <row r="442" ht="15.75" customHeight="1">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row>
    <row r="443" ht="15.75" customHeight="1">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row>
    <row r="444" ht="15.75" customHeight="1">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row>
    <row r="445" ht="15.75" customHeight="1">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row>
    <row r="446" ht="15.75" customHeight="1">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row>
    <row r="447" ht="15.75" customHeight="1">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row>
    <row r="448" ht="15.75" customHeight="1">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row>
    <row r="449" ht="15.75" customHeight="1">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row>
    <row r="450" ht="15.75" customHeight="1">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row>
    <row r="451" ht="15.75" customHeight="1">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row>
    <row r="452" ht="15.75" customHeight="1">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row>
    <row r="453" ht="15.75" customHeight="1">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row>
    <row r="454" ht="15.75" customHeight="1">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row>
    <row r="455" ht="15.75" customHeight="1">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row>
    <row r="456" ht="15.75" customHeight="1">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row>
    <row r="457" ht="15.75" customHeight="1">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row>
    <row r="458" ht="15.75" customHeight="1">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row>
    <row r="459" ht="15.75" customHeight="1">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row>
    <row r="460" ht="15.75" customHeight="1">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row>
    <row r="461" ht="15.75" customHeight="1">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row>
    <row r="462" ht="15.75" customHeight="1">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row>
    <row r="463" ht="15.75" customHeight="1">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row>
    <row r="464" ht="15.75" customHeight="1">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row>
    <row r="465" ht="15.75" customHeight="1">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row>
    <row r="466" ht="15.75" customHeight="1">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row>
    <row r="467" ht="15.75" customHeight="1">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row>
    <row r="468" ht="15.75" customHeight="1">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row>
    <row r="469" ht="15.75" customHeight="1">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row>
    <row r="470" ht="15.75" customHeight="1">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row>
    <row r="471" ht="15.75" customHeight="1">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row>
    <row r="472" ht="15.75" customHeight="1">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row>
    <row r="473" ht="15.75" customHeight="1">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row>
    <row r="474" ht="15.75" customHeight="1">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row>
    <row r="475" ht="15.75" customHeight="1">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row>
    <row r="476" ht="15.75" customHeight="1">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row>
    <row r="477" ht="15.75" customHeight="1">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row>
    <row r="478" ht="15.75" customHeight="1">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row>
    <row r="479" ht="15.75" customHeight="1">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row>
    <row r="480" ht="15.75" customHeight="1">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row>
    <row r="481" ht="15.75" customHeight="1">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row>
    <row r="482" ht="15.75" customHeight="1">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row>
    <row r="483" ht="15.75" customHeight="1">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row>
    <row r="484" ht="15.75" customHeight="1">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row>
    <row r="485" ht="15.75" customHeight="1">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row>
    <row r="486" ht="15.75" customHeight="1">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row>
    <row r="487" ht="15.75" customHeight="1">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row>
    <row r="488" ht="15.75" customHeight="1">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row>
    <row r="489" ht="15.75" customHeight="1">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row>
    <row r="490" ht="15.75" customHeight="1">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row>
    <row r="491" ht="15.75" customHeight="1">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row>
    <row r="492" ht="15.75" customHeight="1">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row>
    <row r="493" ht="15.75" customHeight="1">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row>
    <row r="494" ht="15.75" customHeight="1">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row>
    <row r="495" ht="15.75" customHeight="1">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row>
    <row r="496" ht="15.75" customHeight="1">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row>
    <row r="497" ht="15.75" customHeight="1">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row>
    <row r="498" ht="15.75" customHeight="1">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row>
    <row r="499" ht="15.75" customHeight="1">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row>
    <row r="500" ht="15.75" customHeight="1">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row>
    <row r="501" ht="15.75" customHeight="1">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row>
    <row r="502" ht="15.75" customHeight="1">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row>
    <row r="503" ht="15.75" customHeight="1">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row>
    <row r="504" ht="15.75" customHeight="1">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row>
    <row r="505" ht="15.75" customHeight="1">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row>
    <row r="506" ht="15.75" customHeight="1">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row>
    <row r="507" ht="15.75" customHeight="1">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row>
    <row r="508" ht="15.75" customHeight="1">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row>
    <row r="509" ht="15.75" customHeight="1">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row>
    <row r="510" ht="15.75" customHeight="1">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row>
    <row r="511" ht="15.75" customHeight="1">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row>
    <row r="512" ht="15.75" customHeight="1">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row>
    <row r="513" ht="15.75" customHeight="1">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row>
    <row r="514" ht="15.75" customHeight="1">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row>
    <row r="515" ht="15.75" customHeight="1">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row>
    <row r="516" ht="15.75" customHeight="1">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row>
    <row r="517" ht="15.75" customHeight="1">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row>
    <row r="518" ht="15.75" customHeight="1">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row>
    <row r="519" ht="15.75" customHeight="1">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row>
    <row r="520" ht="15.75" customHeight="1">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row>
    <row r="521" ht="15.75" customHeight="1">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row>
    <row r="522" ht="15.75" customHeight="1">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row>
    <row r="523" ht="15.75" customHeight="1">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row>
    <row r="524" ht="15.75" customHeight="1">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row>
    <row r="525" ht="15.75" customHeight="1">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row>
    <row r="526" ht="15.75" customHeight="1">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row>
    <row r="527" ht="15.75" customHeight="1">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row>
    <row r="528" ht="15.75" customHeight="1">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row>
    <row r="529" ht="15.75" customHeight="1">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row>
    <row r="530" ht="15.75" customHeight="1">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row>
    <row r="531" ht="15.75" customHeight="1">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row>
    <row r="532" ht="15.75" customHeight="1">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row>
    <row r="533" ht="15.75" customHeight="1">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row>
    <row r="534" ht="15.75" customHeight="1">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row>
    <row r="535" ht="15.75" customHeight="1">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row>
    <row r="536" ht="15.75" customHeight="1">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row>
    <row r="537" ht="15.75" customHeight="1">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row>
    <row r="538" ht="15.75" customHeight="1">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row>
    <row r="539" ht="15.75" customHeight="1">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row>
    <row r="540" ht="15.75" customHeight="1">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row>
    <row r="541" ht="15.75" customHeight="1">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row>
    <row r="542" ht="15.75" customHeight="1">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row>
    <row r="543" ht="15.75" customHeight="1">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row>
    <row r="544" ht="15.75" customHeight="1">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row>
    <row r="545" ht="15.75" customHeight="1">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row>
    <row r="546" ht="15.75" customHeight="1">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row>
    <row r="547" ht="15.75" customHeight="1">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row>
    <row r="548" ht="15.75" customHeight="1">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row>
    <row r="549" ht="15.75" customHeight="1">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row>
    <row r="550" ht="15.75" customHeight="1">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row>
    <row r="551" ht="15.75" customHeight="1">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row>
    <row r="552" ht="15.75" customHeight="1">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row>
    <row r="553" ht="15.75" customHeight="1">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row>
    <row r="554" ht="15.75" customHeight="1">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row>
    <row r="555" ht="15.75" customHeight="1">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row>
    <row r="556" ht="15.75" customHeight="1">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row>
    <row r="557" ht="15.75" customHeight="1">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row>
    <row r="558" ht="15.75" customHeight="1">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row>
    <row r="559" ht="15.75" customHeight="1">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row>
    <row r="560" ht="15.75" customHeight="1">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row>
    <row r="561" ht="15.75" customHeight="1">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row>
    <row r="562" ht="15.75" customHeight="1">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row>
    <row r="563" ht="15.75" customHeight="1">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row>
    <row r="564" ht="15.75" customHeight="1">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row>
    <row r="565" ht="15.75" customHeight="1">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row>
    <row r="566" ht="15.75" customHeight="1">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row>
    <row r="567" ht="15.75" customHeight="1">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row>
    <row r="568" ht="15.75" customHeight="1">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row>
    <row r="569" ht="15.75" customHeight="1">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row>
    <row r="570" ht="15.75" customHeight="1">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row>
    <row r="571" ht="15.75" customHeight="1">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row>
    <row r="572" ht="15.75" customHeight="1">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row>
    <row r="573" ht="15.75" customHeight="1">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row>
    <row r="574" ht="15.75" customHeight="1">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row>
    <row r="575" ht="15.75" customHeight="1">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row>
    <row r="576" ht="15.75" customHeight="1">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row>
    <row r="577" ht="15.75" customHeight="1">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row>
    <row r="578" ht="15.75" customHeight="1">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row>
    <row r="579" ht="15.75" customHeight="1">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row>
    <row r="580" ht="15.75" customHeight="1">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row>
    <row r="581" ht="15.75" customHeight="1">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row>
    <row r="582" ht="15.75" customHeight="1">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row>
    <row r="583" ht="15.75" customHeight="1">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row>
    <row r="584" ht="15.75" customHeight="1">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row>
    <row r="585" ht="15.75" customHeight="1">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row>
    <row r="586" ht="15.75" customHeight="1">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row>
    <row r="587" ht="15.75" customHeight="1">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row>
    <row r="588" ht="15.75" customHeight="1">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row>
    <row r="589" ht="15.75" customHeight="1">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row>
    <row r="590" ht="15.75" customHeight="1">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row>
    <row r="591" ht="15.75" customHeight="1">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row>
    <row r="592" ht="15.75" customHeight="1">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row>
    <row r="593" ht="15.75" customHeight="1">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row>
    <row r="594" ht="15.75" customHeight="1">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row>
    <row r="595" ht="15.75" customHeight="1">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row>
    <row r="596" ht="15.75" customHeight="1">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row>
    <row r="597" ht="15.75" customHeight="1">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row>
    <row r="598" ht="15.75" customHeight="1">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row>
    <row r="599" ht="15.75" customHeight="1">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row>
    <row r="600" ht="15.75" customHeight="1">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row>
    <row r="601" ht="15.75" customHeight="1">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row>
    <row r="602" ht="15.75" customHeight="1">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row>
    <row r="603" ht="15.75" customHeight="1">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row>
    <row r="604" ht="15.75" customHeight="1">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row>
    <row r="605" ht="15.75" customHeight="1">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row>
    <row r="606" ht="15.75" customHeight="1">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row>
    <row r="607" ht="15.75" customHeight="1">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row>
    <row r="608" ht="15.75" customHeight="1">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row>
    <row r="609" ht="15.75" customHeight="1">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row>
    <row r="610" ht="15.75" customHeight="1">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row>
    <row r="611" ht="15.75" customHeight="1">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row>
    <row r="612" ht="15.75" customHeight="1">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row>
    <row r="613" ht="15.75" customHeight="1">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row>
    <row r="614" ht="15.75" customHeight="1">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row>
    <row r="615" ht="15.75" customHeight="1">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row>
    <row r="616" ht="15.75" customHeight="1">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row>
    <row r="617" ht="15.75" customHeight="1">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row>
    <row r="618" ht="15.75" customHeight="1">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row>
    <row r="619" ht="15.75" customHeight="1">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row>
    <row r="620" ht="15.75" customHeight="1">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row>
    <row r="621" ht="15.75" customHeight="1">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row>
    <row r="622" ht="15.75" customHeight="1">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row>
    <row r="623" ht="15.75" customHeight="1">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row>
    <row r="624" ht="15.75" customHeight="1">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row>
    <row r="625" ht="15.75" customHeight="1">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row>
    <row r="626" ht="15.75" customHeight="1">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row>
    <row r="627" ht="15.75" customHeight="1">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row>
    <row r="628" ht="15.75" customHeight="1">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row>
    <row r="629" ht="15.75" customHeight="1">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row>
    <row r="630" ht="15.75" customHeight="1">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row>
    <row r="631" ht="15.75" customHeight="1">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row>
    <row r="632" ht="15.75" customHeight="1">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row>
    <row r="633" ht="15.75" customHeight="1">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row>
    <row r="634" ht="15.75" customHeight="1">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row>
    <row r="635" ht="15.75" customHeight="1">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row>
    <row r="636" ht="15.75" customHeight="1">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row>
    <row r="637" ht="15.75" customHeight="1">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row>
    <row r="638" ht="15.75" customHeight="1">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row>
    <row r="639" ht="15.75" customHeight="1">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row>
    <row r="640" ht="15.75" customHeight="1">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row>
    <row r="641" ht="15.75" customHeight="1">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row>
    <row r="642" ht="15.75" customHeight="1">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row>
    <row r="643" ht="15.75" customHeight="1">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row>
    <row r="644" ht="15.75" customHeight="1">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row>
    <row r="645" ht="15.75" customHeight="1">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row>
    <row r="646" ht="15.75" customHeight="1">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row>
    <row r="647" ht="15.75" customHeight="1">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row>
    <row r="648" ht="15.75" customHeight="1">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row>
    <row r="649" ht="15.75" customHeight="1">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row>
    <row r="650" ht="15.75" customHeight="1">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row>
    <row r="651" ht="15.75" customHeight="1">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row>
    <row r="652" ht="15.75" customHeight="1">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row>
    <row r="653" ht="15.75" customHeight="1">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row>
    <row r="654" ht="15.75" customHeight="1">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row>
    <row r="655" ht="15.75" customHeight="1">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row>
    <row r="656" ht="15.75" customHeight="1">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row>
    <row r="657" ht="15.75" customHeight="1">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row>
    <row r="658" ht="15.75" customHeight="1">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row>
    <row r="659" ht="15.75" customHeight="1">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row>
    <row r="660" ht="15.75" customHeight="1">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row>
    <row r="661" ht="15.75" customHeight="1">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row>
    <row r="662" ht="15.75" customHeight="1">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row>
    <row r="663" ht="15.75" customHeight="1">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row>
    <row r="664" ht="15.75" customHeight="1">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row>
    <row r="665" ht="15.75" customHeight="1">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row>
    <row r="666" ht="15.75" customHeight="1">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row>
    <row r="667" ht="15.75" customHeight="1">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row>
    <row r="668" ht="15.75" customHeight="1">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row>
    <row r="669" ht="15.75" customHeight="1">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row>
    <row r="670" ht="15.75" customHeight="1">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row>
    <row r="671" ht="15.75" customHeight="1">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row>
    <row r="672" ht="15.75" customHeight="1">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row>
    <row r="673" ht="15.75" customHeight="1">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row>
    <row r="674" ht="15.75" customHeight="1">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row>
    <row r="675" ht="15.75" customHeight="1">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row>
    <row r="676" ht="15.75" customHeight="1">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row>
    <row r="677" ht="15.75" customHeight="1">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row>
    <row r="678" ht="15.75" customHeight="1">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row>
    <row r="679" ht="15.75" customHeight="1">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row>
    <row r="680" ht="15.75" customHeight="1">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row>
    <row r="681" ht="15.75" customHeight="1">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row>
    <row r="682" ht="15.75" customHeight="1">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row>
    <row r="683" ht="15.75" customHeight="1">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row>
    <row r="684" ht="15.75" customHeight="1">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row>
    <row r="685" ht="15.75" customHeight="1">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row>
    <row r="686" ht="15.75" customHeight="1">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row>
    <row r="687" ht="15.75" customHeight="1">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row>
    <row r="688" ht="15.75" customHeight="1">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row>
    <row r="689" ht="15.75" customHeight="1">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row>
    <row r="690" ht="15.75" customHeight="1">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row>
    <row r="691" ht="15.75" customHeight="1">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row>
    <row r="692" ht="15.75" customHeight="1">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row>
    <row r="693" ht="15.75" customHeight="1">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row>
    <row r="694" ht="15.75" customHeight="1">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row>
    <row r="695" ht="15.75" customHeight="1">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row>
    <row r="696" ht="15.75" customHeight="1">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row>
    <row r="697" ht="15.75" customHeight="1">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row>
    <row r="698" ht="15.75" customHeight="1">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row>
    <row r="699" ht="15.75" customHeight="1">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row>
    <row r="700" ht="15.75" customHeight="1">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row>
    <row r="701" ht="15.75" customHeight="1">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row>
    <row r="702" ht="15.75" customHeight="1">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row>
    <row r="703" ht="15.75" customHeight="1">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row>
    <row r="704" ht="15.75" customHeight="1">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row>
    <row r="705" ht="15.75" customHeight="1">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row>
    <row r="706" ht="15.75" customHeight="1">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row>
    <row r="707" ht="15.75" customHeight="1">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row>
    <row r="708" ht="15.75" customHeight="1">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row>
    <row r="709" ht="15.75" customHeight="1">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row>
    <row r="710" ht="15.75" customHeight="1">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row>
    <row r="711" ht="15.75" customHeight="1">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row>
    <row r="712" ht="15.75" customHeight="1">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row>
    <row r="713" ht="15.75" customHeight="1">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row>
    <row r="714" ht="15.75" customHeight="1">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row>
    <row r="715" ht="15.75" customHeight="1">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row>
    <row r="716" ht="15.75" customHeight="1">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row>
    <row r="717" ht="15.75" customHeight="1">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row>
    <row r="718" ht="15.75" customHeight="1">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row>
    <row r="719" ht="15.75" customHeight="1">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row>
    <row r="720" ht="15.75" customHeight="1">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row>
    <row r="721" ht="15.75" customHeight="1">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row>
    <row r="722" ht="15.75" customHeight="1">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row>
    <row r="723" ht="15.75" customHeight="1">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row>
    <row r="724" ht="15.75" customHeight="1">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row>
    <row r="725" ht="15.75" customHeight="1">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row>
    <row r="726" ht="15.75" customHeight="1">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row>
    <row r="727" ht="15.75" customHeight="1">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row>
    <row r="728" ht="15.75" customHeight="1">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row>
    <row r="729" ht="15.75" customHeight="1">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row>
    <row r="730" ht="15.75" customHeight="1">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row>
    <row r="731" ht="15.75" customHeight="1">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row>
    <row r="732" ht="15.75" customHeight="1">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row>
    <row r="733" ht="15.75" customHeight="1">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row>
    <row r="734" ht="15.75" customHeight="1">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row>
    <row r="735" ht="15.75" customHeight="1">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row>
    <row r="736" ht="15.75" customHeight="1">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row>
    <row r="737" ht="15.75" customHeight="1">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row>
    <row r="738" ht="15.75" customHeight="1">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row>
    <row r="739" ht="15.75" customHeight="1">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row>
    <row r="740" ht="15.75" customHeight="1">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row>
    <row r="741" ht="15.75" customHeight="1">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row>
    <row r="742" ht="15.75" customHeight="1">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row>
    <row r="743" ht="15.75" customHeight="1">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row>
    <row r="744" ht="15.75" customHeight="1">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row>
    <row r="745" ht="15.75" customHeight="1">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row>
    <row r="746" ht="15.75" customHeight="1">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row>
    <row r="747" ht="15.75" customHeight="1">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row>
    <row r="748" ht="15.75" customHeight="1">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row>
    <row r="749" ht="15.75" customHeight="1">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row>
    <row r="750" ht="15.75" customHeight="1">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row>
    <row r="751" ht="15.75" customHeight="1">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row>
    <row r="752" ht="15.75" customHeight="1">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row>
    <row r="753" ht="15.75" customHeight="1">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row>
    <row r="754" ht="15.75" customHeight="1">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row>
    <row r="755" ht="15.75" customHeight="1">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row>
    <row r="756" ht="15.75" customHeight="1">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row>
    <row r="757" ht="15.75" customHeight="1">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row>
    <row r="758" ht="15.75" customHeight="1">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row>
    <row r="759" ht="15.75" customHeight="1">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row>
    <row r="760" ht="15.75" customHeight="1">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row>
    <row r="761" ht="15.75" customHeight="1">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row>
    <row r="762" ht="15.75" customHeight="1">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row>
    <row r="763" ht="15.75" customHeight="1">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row>
    <row r="764" ht="15.75" customHeight="1">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row>
    <row r="765" ht="15.75" customHeight="1">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row>
    <row r="766" ht="15.75" customHeight="1">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row>
    <row r="767" ht="15.75" customHeight="1">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row>
    <row r="768" ht="15.75" customHeight="1">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row>
    <row r="769" ht="15.75" customHeight="1">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row>
    <row r="770" ht="15.75" customHeight="1">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row>
    <row r="771" ht="15.75" customHeight="1">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row>
    <row r="772" ht="15.75" customHeight="1">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row>
    <row r="773" ht="15.75" customHeight="1">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row>
    <row r="774" ht="15.75" customHeight="1">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row>
    <row r="775" ht="15.75" customHeight="1">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row>
    <row r="776" ht="15.75" customHeight="1">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row>
    <row r="777" ht="15.75" customHeight="1">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row>
    <row r="778" ht="15.75" customHeight="1">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row>
    <row r="779" ht="15.75" customHeight="1">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row>
    <row r="780" ht="15.75" customHeight="1">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row>
    <row r="781" ht="15.75" customHeight="1">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row>
    <row r="782" ht="15.75" customHeight="1">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row>
    <row r="783" ht="15.75" customHeight="1">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row>
    <row r="784" ht="15.75" customHeight="1">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row>
    <row r="785" ht="15.75" customHeight="1">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row>
    <row r="786" ht="15.75" customHeight="1">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row>
    <row r="787" ht="15.75" customHeight="1">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row>
    <row r="788" ht="15.75" customHeight="1">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row>
    <row r="789" ht="15.75" customHeight="1">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row>
    <row r="790" ht="15.75" customHeight="1">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row>
    <row r="791" ht="15.75" customHeight="1">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row>
    <row r="792" ht="15.75" customHeight="1">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row>
    <row r="793" ht="15.75" customHeight="1">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row>
    <row r="794" ht="15.75" customHeight="1">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row>
    <row r="795" ht="15.75" customHeight="1">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row>
    <row r="796" ht="15.75" customHeight="1">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row>
    <row r="797" ht="15.75" customHeight="1">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row>
    <row r="798" ht="15.75" customHeight="1">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row>
    <row r="799" ht="15.75" customHeight="1">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row>
    <row r="800" ht="15.75" customHeight="1">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row>
    <row r="801" ht="15.75" customHeight="1">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row>
    <row r="802" ht="15.75" customHeight="1">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row>
    <row r="803" ht="15.75" customHeight="1">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row>
    <row r="804" ht="15.75" customHeight="1">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row>
    <row r="805" ht="15.75" customHeight="1">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row>
    <row r="806" ht="15.75" customHeight="1">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row>
    <row r="807" ht="15.75" customHeight="1">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row>
    <row r="808" ht="15.75" customHeight="1">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row>
    <row r="809" ht="15.75" customHeight="1">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row>
    <row r="810" ht="15.75" customHeight="1">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row>
    <row r="811" ht="15.75" customHeight="1">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row>
    <row r="812" ht="15.75" customHeight="1">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row>
    <row r="813" ht="15.75" customHeight="1">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row>
    <row r="814" ht="15.75" customHeight="1">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row>
    <row r="815" ht="15.75" customHeight="1">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row>
    <row r="816" ht="15.75" customHeight="1">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row>
    <row r="817" ht="15.75" customHeight="1">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row>
    <row r="818" ht="15.75" customHeight="1">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row>
    <row r="819" ht="15.75" customHeight="1">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row>
    <row r="820" ht="15.75" customHeight="1">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row>
    <row r="821" ht="15.75" customHeight="1">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row>
    <row r="822" ht="15.75" customHeight="1">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row>
    <row r="823" ht="15.75" customHeight="1">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row>
    <row r="824" ht="15.75" customHeight="1">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row>
    <row r="825" ht="15.75" customHeight="1">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row>
    <row r="826" ht="15.75" customHeight="1">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row>
    <row r="827" ht="15.75" customHeight="1">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row>
    <row r="828" ht="15.75" customHeight="1">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row>
    <row r="829" ht="15.75" customHeight="1">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row>
    <row r="830" ht="15.75" customHeight="1">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row>
    <row r="831" ht="15.75" customHeight="1">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row>
    <row r="832" ht="15.75" customHeight="1">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row>
    <row r="833" ht="15.75" customHeight="1">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row>
    <row r="834" ht="15.75" customHeight="1">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row>
    <row r="835" ht="15.75" customHeight="1">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row>
    <row r="836" ht="15.75" customHeight="1">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row>
    <row r="837" ht="15.75" customHeight="1">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row>
    <row r="838" ht="15.75" customHeight="1">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row>
    <row r="839" ht="15.75" customHeight="1">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row>
    <row r="840" ht="15.75" customHeight="1">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row>
    <row r="841" ht="15.75" customHeight="1">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row>
    <row r="842" ht="15.75" customHeight="1">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row>
    <row r="843" ht="15.75" customHeight="1">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row>
    <row r="844" ht="15.75" customHeight="1">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row>
    <row r="845" ht="15.75" customHeight="1">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row>
    <row r="846" ht="15.75" customHeight="1">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row>
    <row r="847" ht="15.75" customHeight="1">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row>
    <row r="848" ht="15.75" customHeight="1">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row>
    <row r="849" ht="15.75" customHeight="1">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row>
    <row r="850" ht="15.75" customHeight="1">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row>
    <row r="851" ht="15.75" customHeight="1">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row>
    <row r="852" ht="15.75" customHeight="1">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row>
    <row r="853" ht="15.75" customHeight="1">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row>
    <row r="854" ht="15.75" customHeight="1">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row>
    <row r="855" ht="15.75" customHeight="1">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row>
    <row r="856" ht="15.75" customHeight="1">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row>
    <row r="857" ht="15.75" customHeight="1">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row>
    <row r="858" ht="15.75" customHeight="1">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row>
    <row r="859" ht="15.75" customHeight="1">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row>
    <row r="860" ht="15.75" customHeight="1">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row>
    <row r="861" ht="15.75" customHeight="1">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row>
    <row r="862" ht="15.75" customHeight="1">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row>
    <row r="863" ht="15.75" customHeight="1">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row>
    <row r="864" ht="15.75" customHeight="1">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row>
    <row r="865" ht="15.75" customHeight="1">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row>
    <row r="866" ht="15.75" customHeight="1">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row>
    <row r="867" ht="15.75" customHeight="1">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row>
    <row r="868" ht="15.75" customHeight="1">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row>
    <row r="869" ht="15.75" customHeight="1">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row>
    <row r="870" ht="15.75" customHeight="1">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row>
    <row r="871" ht="15.75" customHeight="1">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row>
    <row r="872" ht="15.75" customHeight="1">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row>
    <row r="873" ht="15.75" customHeight="1">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row>
    <row r="874" ht="15.75" customHeight="1">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row>
    <row r="875" ht="15.75" customHeight="1">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row>
    <row r="876" ht="15.75" customHeight="1">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row>
    <row r="877" ht="15.75" customHeight="1">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row>
    <row r="878" ht="15.75" customHeight="1">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row>
    <row r="879" ht="15.75" customHeight="1">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row>
    <row r="880" ht="15.75" customHeight="1">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row>
    <row r="881" ht="15.75" customHeight="1">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row>
    <row r="882" ht="15.75" customHeight="1">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row>
    <row r="883" ht="15.75" customHeight="1">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row>
    <row r="884" ht="15.75" customHeight="1">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row>
    <row r="885" ht="15.75" customHeight="1">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row>
    <row r="886" ht="15.75" customHeight="1">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row>
    <row r="887" ht="15.75" customHeight="1">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row>
    <row r="888" ht="15.75" customHeight="1">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row>
    <row r="889" ht="15.75" customHeight="1">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row>
    <row r="890" ht="15.75" customHeight="1">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row>
    <row r="891" ht="15.75" customHeight="1">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row>
    <row r="892" ht="15.75" customHeight="1">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row>
    <row r="893" ht="15.75" customHeight="1">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row>
    <row r="894" ht="15.75" customHeight="1">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row>
    <row r="895" ht="15.75" customHeight="1">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row>
    <row r="896" ht="15.75" customHeight="1">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row>
    <row r="897" ht="15.75" customHeight="1">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row>
    <row r="898" ht="15.75" customHeight="1">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row>
    <row r="899" ht="15.75" customHeight="1">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row>
    <row r="900" ht="15.75" customHeight="1">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row>
    <row r="901" ht="15.75" customHeight="1">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row>
    <row r="902" ht="15.75" customHeight="1">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row>
    <row r="903" ht="15.75" customHeight="1">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row>
    <row r="904" ht="15.75" customHeight="1">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row>
    <row r="905" ht="15.75" customHeight="1">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row>
    <row r="906" ht="15.75" customHeight="1">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row>
    <row r="907" ht="15.75" customHeight="1">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row>
    <row r="908" ht="15.75" customHeight="1">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row>
    <row r="909" ht="15.75" customHeight="1">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row>
    <row r="910" ht="15.75" customHeight="1">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row>
    <row r="911" ht="15.75" customHeight="1">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row>
    <row r="912" ht="15.75" customHeight="1">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row>
    <row r="913" ht="15.75" customHeight="1">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row>
    <row r="914" ht="15.75" customHeight="1">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row>
    <row r="915" ht="15.75" customHeight="1">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row>
    <row r="916" ht="15.75" customHeight="1">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row>
    <row r="917" ht="15.75" customHeight="1">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row>
    <row r="918" ht="15.75" customHeight="1">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row>
    <row r="919" ht="15.75" customHeight="1">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row>
    <row r="920" ht="15.75" customHeight="1">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row>
    <row r="921" ht="15.75" customHeight="1">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row>
    <row r="922" ht="15.75" customHeight="1">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row>
    <row r="923" ht="15.75" customHeight="1">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row>
    <row r="924" ht="15.75" customHeight="1">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row>
    <row r="925" ht="15.75" customHeight="1">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row>
    <row r="926" ht="15.75" customHeight="1">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row>
    <row r="927" ht="15.75" customHeight="1">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row>
    <row r="928" ht="15.75" customHeight="1">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row>
    <row r="929" ht="15.75" customHeight="1">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row>
    <row r="930" ht="15.75" customHeight="1">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row>
    <row r="931" ht="15.75" customHeight="1">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row>
    <row r="932" ht="15.75" customHeight="1">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row>
    <row r="933" ht="15.75" customHeight="1">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row>
    <row r="934" ht="15.75" customHeight="1">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row>
    <row r="935" ht="15.75" customHeight="1">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row>
    <row r="936" ht="15.75" customHeight="1">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row>
    <row r="937" ht="15.75" customHeight="1">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row>
    <row r="938" ht="15.75" customHeight="1">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row>
    <row r="939" ht="15.75" customHeight="1">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row>
    <row r="940" ht="15.75" customHeight="1">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row>
    <row r="941" ht="15.75" customHeight="1">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row>
    <row r="942" ht="15.75" customHeight="1">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row>
    <row r="943" ht="15.75" customHeight="1">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row>
    <row r="944" ht="15.75" customHeight="1">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row>
    <row r="945" ht="15.75" customHeight="1">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row>
    <row r="946" ht="15.75" customHeight="1">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row>
    <row r="947" ht="15.75" customHeight="1">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row>
    <row r="948" ht="15.75" customHeight="1">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row>
    <row r="949" ht="15.75" customHeight="1">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row>
    <row r="950" ht="15.75" customHeight="1">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row>
    <row r="951" ht="15.75" customHeight="1">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row>
    <row r="952" ht="15.75" customHeight="1">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row>
    <row r="953" ht="15.75" customHeight="1">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row>
    <row r="954" ht="15.75" customHeight="1">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row>
    <row r="955" ht="15.75" customHeight="1">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row>
    <row r="956" ht="15.75" customHeight="1">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row>
    <row r="957" ht="15.75" customHeight="1">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row>
    <row r="958" ht="15.75" customHeight="1">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row>
    <row r="959" ht="15.75" customHeight="1">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row>
    <row r="960" ht="15.75" customHeight="1">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row>
    <row r="961" ht="15.75" customHeight="1">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row>
    <row r="962" ht="15.75" customHeight="1">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row>
    <row r="963" ht="15.75" customHeight="1">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row>
    <row r="964" ht="15.75" customHeight="1">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row>
    <row r="965" ht="15.75" customHeight="1">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row>
    <row r="966" ht="15.75" customHeight="1">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row>
    <row r="967" ht="15.75" customHeight="1">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row>
    <row r="968" ht="15.75" customHeight="1">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row>
    <row r="969" ht="15.75" customHeight="1">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row>
    <row r="970" ht="15.75" customHeight="1">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row>
    <row r="971" ht="15.75" customHeight="1">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row>
    <row r="972" ht="15.75" customHeight="1">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row>
    <row r="973" ht="15.75" customHeight="1">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row>
    <row r="974" ht="15.75" customHeight="1">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row>
    <row r="975" ht="15.75" customHeight="1">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row>
    <row r="976" ht="15.75" customHeight="1">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row>
    <row r="977" ht="15.75" customHeight="1">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row>
    <row r="978" ht="15.75" customHeight="1">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row>
    <row r="979" ht="15.75" customHeight="1">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row>
    <row r="980" ht="15.75" customHeight="1">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row>
    <row r="981" ht="15.75" customHeight="1">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row>
    <row r="982" ht="15.75" customHeight="1">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row>
    <row r="983" ht="15.75" customHeight="1">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row>
    <row r="984" ht="15.75" customHeight="1">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row>
    <row r="985" ht="15.75" customHeight="1">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row>
    <row r="986" ht="15.75" customHeight="1">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row>
    <row r="987" ht="15.75" customHeight="1">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row>
    <row r="988" ht="15.75" customHeight="1">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row>
    <row r="989" ht="15.75" customHeight="1">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row>
    <row r="990" ht="15.75" customHeight="1">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row>
    <row r="991" ht="15.75" customHeight="1">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row>
    <row r="992" ht="15.75" customHeight="1">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row>
    <row r="993" ht="15.75" customHeight="1">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row>
    <row r="994" ht="15.75" customHeight="1">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row>
    <row r="995" ht="15.75" customHeight="1">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row>
    <row r="996" ht="15.75" customHeight="1">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row>
    <row r="997" ht="15.75" customHeight="1">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row>
  </sheetData>
  <mergeCells count="4">
    <mergeCell ref="A3:A4"/>
    <mergeCell ref="B3:B4"/>
    <mergeCell ref="C3:AE3"/>
    <mergeCell ref="AF3:AF4"/>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53.710000000000001"/>
    <col customWidth="1" min="2" max="2" width="17"/>
    <col customWidth="1" min="3" max="21" width="4.8600000000000003"/>
    <col customWidth="1" min="22" max="22" width="3.8599999999999999"/>
    <col customWidth="1" min="23" max="23" width="3.29"/>
    <col customWidth="1" min="24" max="24" width="3.4300000000000002"/>
    <col customWidth="1" min="25" max="25" width="4.8600000000000003"/>
    <col customWidth="1" min="26" max="26" width="3.4300000000000002"/>
    <col customWidth="1" min="27" max="27" width="4.8600000000000003"/>
    <col customWidth="1" min="28" max="28" width="3.29"/>
    <col customWidth="1" min="29" max="35" width="10.710000000000001"/>
  </cols>
  <sheetData>
    <row r="1" ht="21">
      <c r="A1" s="1" t="s">
        <v>14</v>
      </c>
    </row>
    <row r="3">
      <c r="A3" s="2" t="s">
        <v>1</v>
      </c>
      <c r="B3" s="2" t="s">
        <v>10</v>
      </c>
      <c r="C3" s="4" t="s">
        <v>3</v>
      </c>
      <c r="D3" s="5"/>
      <c r="E3" s="5"/>
      <c r="F3" s="5"/>
      <c r="G3" s="5"/>
      <c r="H3" s="5"/>
      <c r="I3" s="5"/>
      <c r="J3" s="5"/>
      <c r="K3" s="5"/>
      <c r="L3" s="5"/>
      <c r="M3" s="5"/>
      <c r="N3" s="5"/>
      <c r="O3" s="5"/>
      <c r="P3" s="5"/>
      <c r="Q3" s="5"/>
      <c r="R3" s="5"/>
      <c r="S3" s="5"/>
      <c r="T3" s="5"/>
      <c r="U3" s="5"/>
      <c r="V3" s="5"/>
      <c r="W3" s="5"/>
      <c r="X3" s="5"/>
      <c r="Y3" s="5"/>
      <c r="Z3" s="5"/>
      <c r="AA3" s="5"/>
      <c r="AB3" s="6"/>
      <c r="AC3" s="28" t="s">
        <v>4</v>
      </c>
    </row>
    <row r="4">
      <c r="A4" s="7"/>
      <c r="B4" s="7"/>
      <c r="C4" s="8">
        <v>1</v>
      </c>
      <c r="D4" s="8">
        <v>2</v>
      </c>
      <c r="E4" s="8">
        <v>3</v>
      </c>
      <c r="F4" s="8">
        <v>4</v>
      </c>
      <c r="G4" s="8">
        <v>5</v>
      </c>
      <c r="H4" s="8">
        <v>6</v>
      </c>
      <c r="I4" s="8">
        <v>7</v>
      </c>
      <c r="J4" s="8">
        <v>8</v>
      </c>
      <c r="K4" s="8">
        <v>9</v>
      </c>
      <c r="L4" s="8">
        <v>10</v>
      </c>
      <c r="M4" s="8">
        <v>11</v>
      </c>
      <c r="N4" s="8">
        <v>12</v>
      </c>
      <c r="O4" s="8">
        <v>13</v>
      </c>
      <c r="P4" s="8">
        <v>14</v>
      </c>
      <c r="Q4" s="8">
        <v>15</v>
      </c>
      <c r="R4" s="8">
        <v>16</v>
      </c>
      <c r="S4" s="8">
        <v>17</v>
      </c>
      <c r="T4" s="8">
        <v>18</v>
      </c>
      <c r="U4" s="8">
        <v>19</v>
      </c>
      <c r="V4" s="8">
        <v>20</v>
      </c>
      <c r="W4" s="37">
        <v>21</v>
      </c>
      <c r="X4" s="37">
        <v>22</v>
      </c>
      <c r="Y4" s="37">
        <v>23</v>
      </c>
      <c r="Z4" s="37">
        <v>24</v>
      </c>
      <c r="AA4" s="37">
        <v>25</v>
      </c>
      <c r="AB4" s="37">
        <v>26</v>
      </c>
      <c r="AC4" s="9"/>
    </row>
    <row r="5" ht="71.25">
      <c r="A5" s="38" t="s">
        <v>15</v>
      </c>
      <c r="B5" s="39">
        <v>11</v>
      </c>
      <c r="C5" s="40"/>
      <c r="D5" s="41"/>
      <c r="E5" s="42"/>
      <c r="F5" s="42"/>
      <c r="G5" s="42"/>
      <c r="H5" s="42"/>
      <c r="I5" s="42"/>
      <c r="J5" s="42"/>
      <c r="K5" s="42"/>
      <c r="L5" s="42"/>
      <c r="M5" s="42"/>
      <c r="N5" s="42"/>
      <c r="O5" s="42"/>
      <c r="P5" s="42"/>
      <c r="Q5" s="42"/>
      <c r="R5" s="42"/>
      <c r="S5" s="42"/>
      <c r="T5" s="42"/>
      <c r="U5" s="42"/>
      <c r="V5" s="42"/>
      <c r="W5" s="42"/>
      <c r="X5" s="42"/>
      <c r="Y5" s="42"/>
      <c r="Z5" s="42"/>
      <c r="AA5" s="42"/>
      <c r="AB5" s="43"/>
      <c r="AC5" s="44">
        <f t="shared" ref="AC5:AC8" si="6">SUM(C5:V5)</f>
        <v>0</v>
      </c>
    </row>
    <row r="6" ht="71.25">
      <c r="A6" s="45" t="s">
        <v>16</v>
      </c>
      <c r="B6" s="46">
        <v>6</v>
      </c>
      <c r="C6" s="47"/>
      <c r="D6" s="36"/>
      <c r="E6" s="36"/>
      <c r="F6" s="36"/>
      <c r="G6" s="36"/>
      <c r="H6" s="36"/>
      <c r="I6" s="36"/>
      <c r="J6" s="36"/>
      <c r="K6" s="36"/>
      <c r="L6" s="36"/>
      <c r="M6" s="36"/>
      <c r="N6" s="36"/>
      <c r="O6" s="36"/>
      <c r="P6" s="36"/>
      <c r="Q6" s="36"/>
      <c r="R6" s="36"/>
      <c r="S6" s="36"/>
      <c r="T6" s="36"/>
      <c r="U6" s="36"/>
      <c r="V6" s="36"/>
      <c r="W6" s="36"/>
      <c r="X6" s="36"/>
      <c r="Y6" s="36"/>
      <c r="Z6" s="36"/>
      <c r="AA6" s="36"/>
      <c r="AB6" s="48"/>
      <c r="AC6" s="44">
        <f t="shared" si="6"/>
        <v>0</v>
      </c>
    </row>
    <row r="7" ht="71.25">
      <c r="A7" s="29" t="s">
        <v>17</v>
      </c>
      <c r="B7" s="30">
        <v>3</v>
      </c>
      <c r="C7" s="47"/>
      <c r="D7" s="36"/>
      <c r="E7" s="36"/>
      <c r="F7" s="36"/>
      <c r="G7" s="36"/>
      <c r="H7" s="36"/>
      <c r="I7" s="36"/>
      <c r="J7" s="36"/>
      <c r="K7" s="36"/>
      <c r="L7" s="36"/>
      <c r="M7" s="36"/>
      <c r="N7" s="36"/>
      <c r="O7" s="36"/>
      <c r="P7" s="36"/>
      <c r="Q7" s="36"/>
      <c r="R7" s="36"/>
      <c r="S7" s="36"/>
      <c r="T7" s="36"/>
      <c r="U7" s="36"/>
      <c r="V7" s="36"/>
      <c r="W7" s="36"/>
      <c r="X7" s="36"/>
      <c r="Y7" s="36"/>
      <c r="Z7" s="36"/>
      <c r="AA7" s="36"/>
      <c r="AB7" s="48"/>
      <c r="AC7" s="44">
        <f t="shared" si="6"/>
        <v>0</v>
      </c>
    </row>
    <row r="8" ht="71.25">
      <c r="A8" s="29" t="s">
        <v>18</v>
      </c>
      <c r="B8" s="30">
        <v>4</v>
      </c>
      <c r="C8" s="49"/>
      <c r="D8" s="50"/>
      <c r="E8" s="50"/>
      <c r="F8" s="50"/>
      <c r="G8" s="50"/>
      <c r="H8" s="50"/>
      <c r="I8" s="50"/>
      <c r="J8" s="50"/>
      <c r="K8" s="50"/>
      <c r="L8" s="50"/>
      <c r="M8" s="50"/>
      <c r="N8" s="50"/>
      <c r="O8" s="50"/>
      <c r="P8" s="50"/>
      <c r="Q8" s="50"/>
      <c r="R8" s="50"/>
      <c r="S8" s="50"/>
      <c r="T8" s="50"/>
      <c r="U8" s="50"/>
      <c r="V8" s="50"/>
      <c r="W8" s="50"/>
      <c r="X8" s="50"/>
      <c r="Y8" s="50"/>
      <c r="Z8" s="50"/>
      <c r="AA8" s="50"/>
      <c r="AB8" s="51"/>
      <c r="AC8" s="44">
        <f t="shared" si="6"/>
        <v>0</v>
      </c>
    </row>
    <row r="10">
      <c r="A10" s="23" t="s">
        <v>7</v>
      </c>
      <c r="B10" s="52">
        <f>SUM(B5:B9)</f>
        <v>24</v>
      </c>
      <c r="C10" s="52">
        <f>B10-SUM(C5:C8)</f>
        <v>24</v>
      </c>
      <c r="D10" s="52">
        <f>C10-SUM(D5:D8)</f>
        <v>24</v>
      </c>
      <c r="E10" s="52">
        <f>D10-SUM(E5:E8)</f>
        <v>24</v>
      </c>
      <c r="F10" s="52">
        <f>E10-SUM(F5:F8)</f>
        <v>24</v>
      </c>
      <c r="G10" s="52">
        <f>F10-SUM(G5:G8)</f>
        <v>24</v>
      </c>
      <c r="H10" s="52">
        <f>G10-SUM(H5:H8)</f>
        <v>24</v>
      </c>
      <c r="I10" s="52">
        <f>H10-SUM(I5:I8)</f>
        <v>24</v>
      </c>
      <c r="J10" s="52">
        <f>I10-SUM(J5:J8)</f>
        <v>24</v>
      </c>
      <c r="K10" s="52">
        <f>J10-SUM(K5:K8)</f>
        <v>24</v>
      </c>
      <c r="L10" s="52">
        <f>K10-SUM(L5:L8)</f>
        <v>24</v>
      </c>
      <c r="M10" s="52">
        <f>L10-SUM(M5:M8)</f>
        <v>24</v>
      </c>
      <c r="N10" s="52">
        <f>M10-SUM(N5:N8)</f>
        <v>24</v>
      </c>
      <c r="O10" s="52">
        <f>N10-SUM(O5:O8)</f>
        <v>24</v>
      </c>
      <c r="P10" s="52">
        <f>O10-SUM(P5:P8)</f>
        <v>24</v>
      </c>
      <c r="Q10" s="52">
        <f>P10-SUM(Q5:Q8)</f>
        <v>24</v>
      </c>
      <c r="R10" s="52">
        <f>Q10-SUM(R5:R8)</f>
        <v>24</v>
      </c>
      <c r="S10" s="52">
        <f>R10-SUM(S5:S8)</f>
        <v>24</v>
      </c>
      <c r="T10" s="52">
        <f>S10-SUM(T5:T8)</f>
        <v>24</v>
      </c>
      <c r="U10" s="52">
        <f>T10-SUM(U5:U8)</f>
        <v>24</v>
      </c>
      <c r="V10" s="52">
        <f>U10-SUM(V5:V8)</f>
        <v>24</v>
      </c>
      <c r="W10" s="52">
        <f>V10-SUM(W5:W8)</f>
        <v>24</v>
      </c>
      <c r="X10" s="52">
        <f>W10-SUM(X5:X8)</f>
        <v>24</v>
      </c>
      <c r="Y10" s="52">
        <f>X10-SUM(Y5:Y8)</f>
        <v>24</v>
      </c>
      <c r="Z10" s="52">
        <f>Y10-SUM(Z5:Z8)</f>
        <v>24</v>
      </c>
      <c r="AA10" s="52">
        <f>Z10-SUM(AA5:AA8)</f>
        <v>24</v>
      </c>
      <c r="AB10" s="52">
        <f>AA10-SUM(AB5:AB8)</f>
        <v>24</v>
      </c>
    </row>
    <row r="12">
      <c r="A12" s="23" t="s">
        <v>8</v>
      </c>
      <c r="B12" s="52">
        <f>SUM(B5:B8)</f>
        <v>24</v>
      </c>
      <c r="C12" s="52">
        <f>ROUND(B12-(SUM($B$5:$B$8)/26),1)</f>
        <v>23.100000000000001</v>
      </c>
      <c r="D12" s="52">
        <f>ROUND(C12-(SUM($B$5:$B$8)/26),1)</f>
        <v>22.199999999999999</v>
      </c>
      <c r="E12" s="52">
        <f>ROUND(D12-(SUM($B$5:$B$8)/26),1)</f>
        <v>21.300000000000001</v>
      </c>
      <c r="F12" s="52">
        <f>ROUND(E12-(SUM($B$5:$B$8)/26),1)</f>
        <v>20.399999999999999</v>
      </c>
      <c r="G12" s="52">
        <f>ROUND(F12-(SUM($B$5:$B$8)/26),1)</f>
        <v>19.5</v>
      </c>
      <c r="H12" s="52">
        <f>ROUND(G12-(SUM($B$5:$B$8)/26),1)</f>
        <v>18.600000000000001</v>
      </c>
      <c r="I12" s="52">
        <f>ROUND(H12-(SUM($B$5:$B$8)/26),1)</f>
        <v>17.699999999999999</v>
      </c>
      <c r="J12" s="52">
        <f>ROUND(I12-(SUM($B$5:$B$8)/26),1)</f>
        <v>16.800000000000001</v>
      </c>
      <c r="K12" s="52">
        <f>ROUND(J12-(SUM($B$5:$B$8)/26),1)</f>
        <v>15.9</v>
      </c>
      <c r="L12" s="52">
        <f>ROUND(K12-(SUM($B$5:$B$8)/26),1)</f>
        <v>15</v>
      </c>
      <c r="M12" s="52">
        <f>ROUND(L12-(SUM($B$5:$B$8)/26),1)</f>
        <v>14.1</v>
      </c>
      <c r="N12" s="52">
        <f>ROUND(M12-(SUM($B$5:$B$8)/26),1)</f>
        <v>13.199999999999999</v>
      </c>
      <c r="O12" s="52">
        <f>ROUND(N12-(SUM($B$5:$B$8)/26),1)</f>
        <v>12.300000000000001</v>
      </c>
      <c r="P12" s="52">
        <f>ROUND(O12-(SUM($B$5:$B$8)/26),1)</f>
        <v>11.4</v>
      </c>
      <c r="Q12" s="52">
        <f>ROUND(P12-(SUM($B$5:$B$8)/26),1)</f>
        <v>10.5</v>
      </c>
      <c r="R12" s="52">
        <f>ROUND(Q12-(SUM($B$5:$B$8)/26),1)</f>
        <v>9.5999999999999996</v>
      </c>
      <c r="S12" s="52">
        <f>ROUND(R12-(SUM($B$5:$B$8)/26),1)</f>
        <v>8.6999999999999993</v>
      </c>
      <c r="T12" s="52">
        <f>ROUND(S12-(SUM($B$5:$B$8)/26),1)</f>
        <v>7.7999999999999998</v>
      </c>
      <c r="U12" s="52">
        <f>ROUND(T12-(SUM($B$5:$B$8)/26),1)</f>
        <v>6.9000000000000004</v>
      </c>
      <c r="V12" s="52">
        <f>ROUND(U12-(SUM($B$5:$B$8)/26),1)</f>
        <v>6</v>
      </c>
      <c r="W12" s="52">
        <f>ROUND(V12-(SUM($B$5:$B$8)/26),1)</f>
        <v>5.0999999999999996</v>
      </c>
      <c r="X12" s="52">
        <f>ROUND(W12-(SUM($B$5:$B$8)/26),1)</f>
        <v>4.2000000000000002</v>
      </c>
      <c r="Y12" s="52">
        <f>ROUND(X12-(SUM($B$5:$B$8)/26),1)</f>
        <v>3.2999999999999998</v>
      </c>
      <c r="Z12" s="52">
        <f>ROUND(Y12-(SUM($B$5:$B$8)/26),1)</f>
        <v>2.3999999999999999</v>
      </c>
      <c r="AA12" s="52">
        <f>ROUND(Z12-(SUM($B$5:$B$8)/26),1)</f>
        <v>1.5</v>
      </c>
      <c r="AB12" s="52">
        <f>ROUND(AA12-(SUM($B$5:$B$8)/26),1)</f>
        <v>0.59999999999999998</v>
      </c>
    </row>
    <row r="14">
      <c r="A14" s="25"/>
      <c r="B14" s="26"/>
      <c r="C14" s="25"/>
      <c r="D14" s="25"/>
      <c r="E14" s="25"/>
      <c r="F14" s="25"/>
      <c r="G14" s="25"/>
      <c r="H14" s="25"/>
      <c r="I14" s="25"/>
    </row>
    <row r="15">
      <c r="A15" s="25"/>
      <c r="B15" s="26"/>
      <c r="C15" s="25"/>
      <c r="D15" s="25"/>
      <c r="E15" s="25"/>
      <c r="F15" s="25"/>
      <c r="G15" s="26"/>
      <c r="H15" s="25"/>
      <c r="I15" s="25"/>
    </row>
    <row r="16">
      <c r="A16" s="25"/>
      <c r="B16" s="26"/>
      <c r="C16" s="25"/>
      <c r="D16" s="25"/>
      <c r="E16" s="25"/>
      <c r="F16" s="25"/>
      <c r="G16" s="26"/>
      <c r="H16" s="25"/>
      <c r="I16" s="25"/>
    </row>
    <row r="17">
      <c r="A17" s="25"/>
      <c r="B17" s="26"/>
      <c r="C17" s="25"/>
      <c r="D17" s="25"/>
      <c r="E17" s="25"/>
      <c r="F17" s="25"/>
      <c r="G17" s="26"/>
      <c r="H17" s="25"/>
      <c r="I17" s="25"/>
    </row>
    <row r="18">
      <c r="A18" s="25"/>
      <c r="B18" s="26"/>
      <c r="C18" s="25"/>
      <c r="D18" s="25"/>
      <c r="E18" s="25"/>
      <c r="F18" s="25"/>
      <c r="G18" s="26"/>
      <c r="H18" s="25"/>
      <c r="I18" s="25"/>
    </row>
    <row r="19" ht="15.75" customHeight="1">
      <c r="A19" s="25"/>
      <c r="B19" s="26"/>
      <c r="C19" s="25"/>
      <c r="D19" s="25"/>
      <c r="E19" s="25"/>
      <c r="F19" s="25"/>
      <c r="G19" s="26"/>
      <c r="H19" s="25"/>
      <c r="I19" s="25"/>
    </row>
    <row r="20" ht="15.75" customHeight="1">
      <c r="A20" s="25"/>
      <c r="B20" s="26"/>
      <c r="C20" s="25"/>
      <c r="D20" s="25"/>
      <c r="E20" s="25"/>
      <c r="F20" s="25"/>
      <c r="G20" s="26"/>
      <c r="H20" s="25"/>
      <c r="I20" s="25"/>
    </row>
    <row r="21" ht="15.75" customHeight="1">
      <c r="A21" s="25"/>
      <c r="B21" s="26"/>
      <c r="C21" s="25"/>
      <c r="D21" s="25"/>
      <c r="E21" s="25"/>
      <c r="F21" s="25"/>
      <c r="G21" s="25"/>
      <c r="H21" s="25"/>
      <c r="I21" s="25"/>
    </row>
    <row r="22" ht="15.75" customHeight="1">
      <c r="A22" s="25"/>
      <c r="B22" s="26"/>
      <c r="C22" s="25"/>
      <c r="D22" s="25"/>
      <c r="E22" s="25"/>
      <c r="F22" s="25"/>
      <c r="G22" s="25"/>
      <c r="H22" s="25"/>
      <c r="I22" s="25"/>
    </row>
    <row r="23" ht="15.75" customHeight="1">
      <c r="A23" s="25"/>
      <c r="B23" s="26"/>
      <c r="C23" s="25"/>
      <c r="D23" s="25"/>
      <c r="E23" s="25"/>
      <c r="F23" s="25"/>
      <c r="G23" s="25"/>
      <c r="H23" s="25"/>
      <c r="I23" s="2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A3:A4"/>
    <mergeCell ref="B3:B4"/>
    <mergeCell ref="C3:AB3"/>
    <mergeCell ref="AC3:AC4"/>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64.430000000000007"/>
    <col customWidth="1" min="2" max="2" width="17"/>
    <col customWidth="1" min="3" max="11" width="4.8600000000000003"/>
    <col customWidth="1" min="12" max="12" width="3.29"/>
    <col customWidth="1" min="13" max="18" width="4.8600000000000003"/>
    <col customWidth="1" min="19" max="21" width="3.8599999999999999"/>
    <col customWidth="1" min="22" max="22" width="3.29"/>
    <col customWidth="1" min="23" max="29" width="10.710000000000001"/>
  </cols>
  <sheetData>
    <row r="1">
      <c r="A1" s="1" t="s">
        <v>19</v>
      </c>
    </row>
    <row r="3">
      <c r="A3" s="2" t="s">
        <v>1</v>
      </c>
      <c r="B3" s="2" t="s">
        <v>10</v>
      </c>
      <c r="C3" s="4" t="s">
        <v>3</v>
      </c>
      <c r="D3" s="5"/>
      <c r="E3" s="5"/>
      <c r="F3" s="5"/>
      <c r="G3" s="5"/>
      <c r="H3" s="5"/>
      <c r="I3" s="5"/>
      <c r="J3" s="5"/>
      <c r="K3" s="5"/>
      <c r="L3" s="5"/>
      <c r="M3" s="5"/>
      <c r="N3" s="5"/>
      <c r="O3" s="5"/>
      <c r="P3" s="5"/>
      <c r="Q3" s="5"/>
      <c r="R3" s="5"/>
      <c r="S3" s="5"/>
      <c r="T3" s="5"/>
      <c r="U3" s="5"/>
      <c r="V3" s="6"/>
      <c r="W3" s="28" t="s">
        <v>4</v>
      </c>
    </row>
    <row r="4">
      <c r="A4" s="7"/>
      <c r="B4" s="7"/>
      <c r="C4" s="8">
        <v>1</v>
      </c>
      <c r="D4" s="8">
        <v>2</v>
      </c>
      <c r="E4" s="8">
        <v>3</v>
      </c>
      <c r="F4" s="8">
        <v>4</v>
      </c>
      <c r="G4" s="8">
        <v>5</v>
      </c>
      <c r="H4" s="8">
        <v>6</v>
      </c>
      <c r="I4" s="8">
        <v>7</v>
      </c>
      <c r="J4" s="8">
        <v>8</v>
      </c>
      <c r="K4" s="8">
        <v>9</v>
      </c>
      <c r="L4" s="8">
        <v>10</v>
      </c>
      <c r="M4" s="8">
        <v>11</v>
      </c>
      <c r="N4" s="8">
        <v>12</v>
      </c>
      <c r="O4" s="8">
        <v>13</v>
      </c>
      <c r="P4" s="8">
        <v>14</v>
      </c>
      <c r="Q4" s="8">
        <v>15</v>
      </c>
      <c r="R4" s="8">
        <v>16</v>
      </c>
      <c r="S4" s="8">
        <v>17</v>
      </c>
      <c r="T4" s="8">
        <v>18</v>
      </c>
      <c r="U4" s="8">
        <v>19</v>
      </c>
      <c r="V4" s="8">
        <v>20</v>
      </c>
      <c r="W4" s="9"/>
    </row>
    <row r="5">
      <c r="A5" s="38" t="s">
        <v>20</v>
      </c>
      <c r="B5" s="39">
        <v>10</v>
      </c>
      <c r="C5" s="40"/>
      <c r="D5" s="42"/>
      <c r="E5" s="41"/>
      <c r="F5" s="42"/>
      <c r="G5" s="42"/>
      <c r="H5" s="42"/>
      <c r="I5" s="42"/>
      <c r="J5" s="42"/>
      <c r="K5" s="42"/>
      <c r="L5" s="42"/>
      <c r="M5" s="42"/>
      <c r="N5" s="42"/>
      <c r="O5" s="42"/>
      <c r="P5" s="42"/>
      <c r="Q5" s="42"/>
      <c r="R5" s="42"/>
      <c r="S5" s="42"/>
      <c r="T5" s="42"/>
      <c r="U5" s="42"/>
      <c r="V5" s="42"/>
      <c r="W5" s="2">
        <f t="shared" ref="W5:W10" si="7">SUM(C5:V5)</f>
        <v>0</v>
      </c>
    </row>
    <row r="6">
      <c r="A6" s="29" t="s">
        <v>21</v>
      </c>
      <c r="B6" s="30">
        <v>14</v>
      </c>
      <c r="C6" s="47"/>
      <c r="D6" s="53"/>
      <c r="E6" s="36"/>
      <c r="F6" s="36"/>
      <c r="G6" s="36"/>
      <c r="H6" s="36"/>
      <c r="I6" s="36"/>
      <c r="J6" s="36"/>
      <c r="K6" s="36"/>
      <c r="L6" s="36"/>
      <c r="M6" s="36"/>
      <c r="N6" s="36"/>
      <c r="O6" s="36"/>
      <c r="P6" s="36"/>
      <c r="Q6" s="36"/>
      <c r="R6" s="36"/>
      <c r="S6" s="36"/>
      <c r="T6" s="36"/>
      <c r="U6" s="36"/>
      <c r="V6" s="36"/>
      <c r="W6" s="54">
        <f t="shared" si="7"/>
        <v>0</v>
      </c>
    </row>
    <row r="7">
      <c r="A7" s="45" t="s">
        <v>22</v>
      </c>
      <c r="B7" s="46">
        <v>11</v>
      </c>
      <c r="C7" s="47"/>
      <c r="D7" s="36"/>
      <c r="E7" s="36"/>
      <c r="F7" s="36"/>
      <c r="G7" s="36"/>
      <c r="H7" s="36"/>
      <c r="I7" s="36"/>
      <c r="J7" s="36"/>
      <c r="K7" s="36"/>
      <c r="L7" s="36"/>
      <c r="M7" s="36"/>
      <c r="N7" s="36"/>
      <c r="O7" s="36"/>
      <c r="P7" s="36"/>
      <c r="Q7" s="36"/>
      <c r="R7" s="36"/>
      <c r="S7" s="36"/>
      <c r="T7" s="36"/>
      <c r="U7" s="36"/>
      <c r="V7" s="36"/>
      <c r="W7" s="54">
        <f t="shared" si="7"/>
        <v>0</v>
      </c>
    </row>
    <row r="8">
      <c r="A8" s="29" t="s">
        <v>23</v>
      </c>
      <c r="B8" s="30">
        <v>18</v>
      </c>
      <c r="C8" s="47"/>
      <c r="D8" s="36"/>
      <c r="E8" s="36"/>
      <c r="F8" s="36"/>
      <c r="G8" s="36"/>
      <c r="H8" s="36"/>
      <c r="I8" s="36"/>
      <c r="J8" s="36"/>
      <c r="K8" s="36"/>
      <c r="L8" s="36"/>
      <c r="M8" s="36"/>
      <c r="N8" s="36"/>
      <c r="O8" s="36"/>
      <c r="P8" s="36"/>
      <c r="Q8" s="36"/>
      <c r="R8" s="36"/>
      <c r="S8" s="36"/>
      <c r="T8" s="36"/>
      <c r="U8" s="36"/>
      <c r="V8" s="36"/>
      <c r="W8" s="54">
        <f t="shared" si="7"/>
        <v>0</v>
      </c>
    </row>
    <row r="9">
      <c r="A9" s="29" t="s">
        <v>24</v>
      </c>
      <c r="B9" s="30">
        <v>3</v>
      </c>
      <c r="C9" s="47"/>
      <c r="D9" s="36"/>
      <c r="E9" s="36"/>
      <c r="F9" s="36"/>
      <c r="G9" s="36"/>
      <c r="H9" s="36"/>
      <c r="I9" s="36"/>
      <c r="J9" s="36"/>
      <c r="K9" s="36"/>
      <c r="L9" s="36"/>
      <c r="M9" s="36"/>
      <c r="N9" s="36"/>
      <c r="O9" s="36"/>
      <c r="P9" s="36"/>
      <c r="Q9" s="36"/>
      <c r="R9" s="36"/>
      <c r="S9" s="36"/>
      <c r="T9" s="36"/>
      <c r="U9" s="36"/>
      <c r="V9" s="36"/>
      <c r="W9" s="54">
        <f t="shared" si="7"/>
        <v>0</v>
      </c>
    </row>
    <row r="10">
      <c r="A10" s="29" t="s">
        <v>25</v>
      </c>
      <c r="B10" s="30">
        <v>6</v>
      </c>
      <c r="C10" s="49"/>
      <c r="D10" s="50"/>
      <c r="E10" s="50"/>
      <c r="F10" s="50"/>
      <c r="G10" s="50"/>
      <c r="H10" s="50"/>
      <c r="I10" s="50"/>
      <c r="J10" s="50"/>
      <c r="K10" s="50"/>
      <c r="L10" s="50"/>
      <c r="M10" s="50"/>
      <c r="N10" s="50"/>
      <c r="O10" s="50"/>
      <c r="P10" s="50"/>
      <c r="Q10" s="50"/>
      <c r="R10" s="50"/>
      <c r="S10" s="50"/>
      <c r="T10" s="50"/>
      <c r="U10" s="50"/>
      <c r="V10" s="50"/>
      <c r="W10" s="55">
        <f t="shared" si="7"/>
        <v>0</v>
      </c>
    </row>
    <row r="12">
      <c r="A12" s="23" t="s">
        <v>7</v>
      </c>
      <c r="B12" s="52">
        <f>SUM(B5:B11)</f>
        <v>62</v>
      </c>
      <c r="C12" s="52">
        <f t="shared" ref="C12:V12" si="8">B12-SUM(C5:C10)</f>
        <v>62</v>
      </c>
      <c r="D12" s="52">
        <f t="shared" si="8"/>
        <v>62</v>
      </c>
      <c r="E12" s="52">
        <f t="shared" si="8"/>
        <v>62</v>
      </c>
      <c r="F12" s="52">
        <f t="shared" si="8"/>
        <v>62</v>
      </c>
      <c r="G12" s="52">
        <f t="shared" si="8"/>
        <v>62</v>
      </c>
      <c r="H12" s="52">
        <f t="shared" si="8"/>
        <v>62</v>
      </c>
      <c r="I12" s="52">
        <f t="shared" si="8"/>
        <v>62</v>
      </c>
      <c r="J12" s="52">
        <f t="shared" si="8"/>
        <v>62</v>
      </c>
      <c r="K12" s="52">
        <f t="shared" si="8"/>
        <v>62</v>
      </c>
      <c r="L12" s="52">
        <f t="shared" si="8"/>
        <v>62</v>
      </c>
      <c r="M12" s="52">
        <f t="shared" si="8"/>
        <v>62</v>
      </c>
      <c r="N12" s="52">
        <f t="shared" si="8"/>
        <v>62</v>
      </c>
      <c r="O12" s="52">
        <f t="shared" si="8"/>
        <v>62</v>
      </c>
      <c r="P12" s="52">
        <f t="shared" si="8"/>
        <v>62</v>
      </c>
      <c r="Q12" s="52">
        <f t="shared" si="8"/>
        <v>62</v>
      </c>
      <c r="R12" s="52">
        <f t="shared" si="8"/>
        <v>62</v>
      </c>
      <c r="S12" s="52">
        <f t="shared" si="8"/>
        <v>62</v>
      </c>
      <c r="T12" s="52">
        <f t="shared" si="8"/>
        <v>62</v>
      </c>
      <c r="U12" s="52">
        <f t="shared" si="8"/>
        <v>62</v>
      </c>
      <c r="V12" s="52">
        <f t="shared" si="8"/>
        <v>62</v>
      </c>
    </row>
    <row r="14">
      <c r="A14" s="23" t="s">
        <v>8</v>
      </c>
      <c r="B14" s="52">
        <f>SUM(B5:B10)</f>
        <v>62</v>
      </c>
      <c r="C14" s="52">
        <f t="shared" ref="C14:V14" si="9">B14-(SUM($B$5:$B$10)/20)</f>
        <v>58.899999999999999</v>
      </c>
      <c r="D14" s="52">
        <f t="shared" si="9"/>
        <v>55.799999999999997</v>
      </c>
      <c r="E14" s="52">
        <f t="shared" si="9"/>
        <v>52.700000000000003</v>
      </c>
      <c r="F14" s="52">
        <f t="shared" si="9"/>
        <v>49.600000000000001</v>
      </c>
      <c r="G14" s="52">
        <f t="shared" si="9"/>
        <v>46.5</v>
      </c>
      <c r="H14" s="52">
        <f t="shared" si="9"/>
        <v>43.399999999999999</v>
      </c>
      <c r="I14" s="52">
        <f t="shared" si="9"/>
        <v>40.299999999999997</v>
      </c>
      <c r="J14" s="52">
        <f t="shared" si="9"/>
        <v>37.200000000000003</v>
      </c>
      <c r="K14" s="52">
        <f t="shared" si="9"/>
        <v>34.100000000000001</v>
      </c>
      <c r="L14" s="52">
        <f t="shared" si="9"/>
        <v>31</v>
      </c>
      <c r="M14" s="52">
        <f t="shared" si="9"/>
        <v>27.899999999999999</v>
      </c>
      <c r="N14" s="52">
        <f t="shared" si="9"/>
        <v>24.800000000000001</v>
      </c>
      <c r="O14" s="52">
        <f t="shared" si="9"/>
        <v>21.699999999999999</v>
      </c>
      <c r="P14" s="52">
        <f t="shared" si="9"/>
        <v>18.600000000000001</v>
      </c>
      <c r="Q14" s="52">
        <f t="shared" si="9"/>
        <v>15.5</v>
      </c>
      <c r="R14" s="52">
        <f t="shared" si="9"/>
        <v>12.4</v>
      </c>
      <c r="S14" s="52">
        <f t="shared" si="9"/>
        <v>9.3000000000000007</v>
      </c>
      <c r="T14" s="52">
        <f t="shared" si="9"/>
        <v>6.2000000000000002</v>
      </c>
      <c r="U14" s="52">
        <f t="shared" si="9"/>
        <v>3.1000000000000001</v>
      </c>
      <c r="V14" s="52">
        <f t="shared" si="9"/>
        <v>0</v>
      </c>
    </row>
    <row r="16">
      <c r="A16" s="25"/>
      <c r="B16" s="26"/>
      <c r="C16" s="25"/>
      <c r="D16" s="25"/>
      <c r="E16" s="25"/>
      <c r="F16" s="25"/>
      <c r="G16" s="25"/>
      <c r="H16" s="25"/>
      <c r="I16" s="25"/>
    </row>
    <row r="17">
      <c r="A17" s="25"/>
      <c r="B17" s="26"/>
      <c r="C17" s="25"/>
      <c r="D17" s="25"/>
      <c r="E17" s="25"/>
      <c r="F17" s="25"/>
      <c r="G17" s="26"/>
      <c r="H17" s="25"/>
      <c r="I17" s="25"/>
    </row>
    <row r="18">
      <c r="A18" s="25"/>
      <c r="B18" s="26"/>
      <c r="C18" s="25"/>
      <c r="D18" s="25"/>
      <c r="E18" s="25"/>
      <c r="F18" s="25"/>
      <c r="G18" s="26"/>
      <c r="H18" s="25"/>
      <c r="I18" s="25"/>
    </row>
    <row r="19">
      <c r="A19" s="25"/>
      <c r="B19" s="26"/>
      <c r="C19" s="25"/>
      <c r="D19" s="25"/>
      <c r="E19" s="25"/>
      <c r="F19" s="25"/>
      <c r="G19" s="26"/>
      <c r="H19" s="25"/>
      <c r="I19" s="25"/>
    </row>
    <row r="20">
      <c r="A20" s="25"/>
      <c r="B20" s="26"/>
      <c r="C20" s="25"/>
      <c r="D20" s="25"/>
      <c r="E20" s="25"/>
      <c r="F20" s="25"/>
      <c r="G20" s="26"/>
      <c r="H20" s="25"/>
      <c r="I20" s="25"/>
    </row>
    <row r="21" ht="15.75" customHeight="1">
      <c r="A21" s="25"/>
      <c r="B21" s="26"/>
      <c r="C21" s="25"/>
      <c r="D21" s="25"/>
      <c r="E21" s="25"/>
      <c r="F21" s="25"/>
      <c r="G21" s="26"/>
      <c r="H21" s="25"/>
      <c r="I21" s="25"/>
    </row>
    <row r="22" ht="15.75" customHeight="1">
      <c r="A22" s="25"/>
      <c r="B22" s="26"/>
      <c r="C22" s="25"/>
      <c r="D22" s="25"/>
      <c r="E22" s="25"/>
      <c r="F22" s="25"/>
      <c r="G22" s="26"/>
      <c r="H22" s="25"/>
      <c r="I22" s="25"/>
    </row>
    <row r="23" ht="15.75" customHeight="1">
      <c r="A23" s="25"/>
      <c r="B23" s="26"/>
      <c r="C23" s="25"/>
      <c r="D23" s="25"/>
      <c r="E23" s="25"/>
      <c r="F23" s="25"/>
      <c r="G23" s="25"/>
      <c r="H23" s="25"/>
      <c r="I23" s="25"/>
    </row>
    <row r="24" ht="15.75" customHeight="1">
      <c r="A24" s="25"/>
      <c r="B24" s="26"/>
      <c r="C24" s="25"/>
      <c r="D24" s="25"/>
      <c r="E24" s="25"/>
      <c r="F24" s="25"/>
      <c r="G24" s="25"/>
      <c r="H24" s="25"/>
      <c r="I24" s="25"/>
    </row>
    <row r="25" ht="15.75" customHeight="1">
      <c r="A25" s="25"/>
      <c r="B25" s="26"/>
      <c r="C25" s="25"/>
      <c r="D25" s="25"/>
      <c r="E25" s="25"/>
      <c r="F25" s="25"/>
      <c r="G25" s="25"/>
      <c r="H25" s="25"/>
      <c r="I25" s="25"/>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A4"/>
    <mergeCell ref="B3:B4"/>
    <mergeCell ref="C3:V3"/>
    <mergeCell ref="W3:W4"/>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Rodrigo Galaz Silva</dc:creator>
  <cp:revision>1</cp:revision>
  <dcterms:created xsi:type="dcterms:W3CDTF">2018-02-12T12:05:26Z</dcterms:created>
  <dcterms:modified xsi:type="dcterms:W3CDTF">2026-10-10T03:27:27Z</dcterms:modified>
</cp:coreProperties>
</file>