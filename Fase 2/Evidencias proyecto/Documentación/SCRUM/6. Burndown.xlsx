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harts/chart1.xml" ContentType="application/vnd.openxmlformats-officedocument.drawingml.chart+xml"/>
  <Override PartName="/xl/drawings/drawing2.xml" ContentType="application/vnd.openxmlformats-officedocument.drawing+xml"/>
  <Override PartName="/xl/charts/chart2.xml" ContentType="application/vnd.openxmlformats-officedocument.drawingml.chart+xml"/>
  <Override PartName="/xl/drawings/drawing3.xml" ContentType="application/vnd.openxmlformats-officedocument.drawing+xml"/>
  <Override PartName="/xl/charts/chart3.xml" ContentType="application/vnd.openxmlformats-officedocument.drawingml.chart+xml"/>
  <Override PartName="/xl/drawings/drawing4.xml" ContentType="application/vnd.openxmlformats-officedocument.drawing+xml"/>
  <Override PartName="/xl/charts/chart4.xml" ContentType="application/vnd.openxmlformats-officedocument.drawingml.chart+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C:\Users\Notebook\Desktop\HarvesTam-Edu\HarvesTam-Edu\Fase 2\Evidencias proyecto\Documentación\SCRUM\"/>
    </mc:Choice>
  </mc:AlternateContent>
  <xr:revisionPtr revIDLastSave="0" documentId="13_ncr:1_{E303F670-28C8-4776-8583-D0642AD30985}" xr6:coauthVersionLast="47" xr6:coauthVersionMax="47" xr10:uidLastSave="{00000000-0000-0000-0000-000000000000}"/>
  <bookViews>
    <workbookView xWindow="-108" yWindow="-108" windowWidth="23256" windowHeight="12456" activeTab="3" xr2:uid="{00000000-000D-0000-FFFF-FFFF00000000}"/>
  </bookViews>
  <sheets>
    <sheet name="Sprint 0 " sheetId="1" r:id="rId1"/>
    <sheet name="Sprint 1" sheetId="2" r:id="rId2"/>
    <sheet name="Sprint 2" sheetId="3" r:id="rId3"/>
    <sheet name="Sprint 3"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2">
      <go:sheetsCustomData xmlns:go="http://customooxmlschemas.google.com/" r:id="rId8" roundtripDataChecksum="fikXOgcm4mW/WqqK8jttUMJCk+orfKsXf5CXfD1WIUo="/>
    </ext>
  </extLst>
</workbook>
</file>

<file path=xl/calcChain.xml><?xml version="1.0" encoding="utf-8"?>
<calcChain xmlns="http://schemas.openxmlformats.org/spreadsheetml/2006/main">
  <c r="E8" i="1" l="1"/>
  <c r="B16" i="4"/>
  <c r="C16" i="4" s="1"/>
  <c r="D16" i="4" s="1"/>
  <c r="E16" i="4" s="1"/>
  <c r="F16" i="4" s="1"/>
  <c r="G16" i="4" s="1"/>
  <c r="H16" i="4" s="1"/>
  <c r="I16" i="4" s="1"/>
  <c r="J16" i="4" s="1"/>
  <c r="K16" i="4" s="1"/>
  <c r="L16" i="4" s="1"/>
  <c r="M16" i="4" s="1"/>
  <c r="N16" i="4" s="1"/>
  <c r="O16" i="4" s="1"/>
  <c r="P16" i="4" s="1"/>
  <c r="Q16" i="4" s="1"/>
  <c r="R16" i="4" s="1"/>
  <c r="S16" i="4" s="1"/>
  <c r="T16" i="4" s="1"/>
  <c r="U16" i="4" s="1"/>
  <c r="V16" i="4" s="1"/>
  <c r="B14" i="4"/>
  <c r="C14" i="4" s="1"/>
  <c r="D14" i="4" s="1"/>
  <c r="E14" i="4" s="1"/>
  <c r="F14" i="4" s="1"/>
  <c r="G14" i="4" s="1"/>
  <c r="H14" i="4" s="1"/>
  <c r="I14" i="4" s="1"/>
  <c r="J14" i="4" s="1"/>
  <c r="K14" i="4" s="1"/>
  <c r="L14" i="4" s="1"/>
  <c r="M14" i="4" s="1"/>
  <c r="N14" i="4" s="1"/>
  <c r="O14" i="4" s="1"/>
  <c r="P14" i="4" s="1"/>
  <c r="Q14" i="4" s="1"/>
  <c r="R14" i="4" s="1"/>
  <c r="S14" i="4" s="1"/>
  <c r="T14" i="4" s="1"/>
  <c r="U14" i="4" s="1"/>
  <c r="V14" i="4" s="1"/>
  <c r="W12" i="4"/>
  <c r="W11" i="4"/>
  <c r="W10" i="4"/>
  <c r="W9" i="4"/>
  <c r="W8" i="4"/>
  <c r="W7" i="4"/>
  <c r="W6" i="4"/>
  <c r="W5" i="4"/>
  <c r="B12" i="3"/>
  <c r="C12" i="3" s="1"/>
  <c r="D12" i="3" s="1"/>
  <c r="E12" i="3" s="1"/>
  <c r="F12" i="3" s="1"/>
  <c r="G12" i="3" s="1"/>
  <c r="H12" i="3" s="1"/>
  <c r="I12" i="3" s="1"/>
  <c r="J12" i="3" s="1"/>
  <c r="K12" i="3" s="1"/>
  <c r="L12" i="3" s="1"/>
  <c r="M12" i="3" s="1"/>
  <c r="N12" i="3" s="1"/>
  <c r="O12" i="3" s="1"/>
  <c r="P12" i="3" s="1"/>
  <c r="Q12" i="3" s="1"/>
  <c r="R12" i="3" s="1"/>
  <c r="S12" i="3" s="1"/>
  <c r="T12" i="3" s="1"/>
  <c r="U12" i="3" s="1"/>
  <c r="V12" i="3" s="1"/>
  <c r="W12" i="3" s="1"/>
  <c r="X12" i="3" s="1"/>
  <c r="B10" i="3"/>
  <c r="C10" i="3" s="1"/>
  <c r="D10" i="3" s="1"/>
  <c r="E10" i="3" s="1"/>
  <c r="F10" i="3" s="1"/>
  <c r="G10" i="3" s="1"/>
  <c r="H10" i="3" s="1"/>
  <c r="I10" i="3" s="1"/>
  <c r="J10" i="3" s="1"/>
  <c r="K10" i="3" s="1"/>
  <c r="L10" i="3" s="1"/>
  <c r="M10" i="3" s="1"/>
  <c r="N10" i="3" s="1"/>
  <c r="O10" i="3" s="1"/>
  <c r="P10" i="3" s="1"/>
  <c r="Q10" i="3" s="1"/>
  <c r="R10" i="3" s="1"/>
  <c r="S10" i="3" s="1"/>
  <c r="T10" i="3" s="1"/>
  <c r="U10" i="3" s="1"/>
  <c r="V10" i="3" s="1"/>
  <c r="W10" i="3" s="1"/>
  <c r="X10" i="3" s="1"/>
  <c r="Y8" i="3"/>
  <c r="Y7" i="3"/>
  <c r="Y6" i="3"/>
  <c r="Y5" i="3"/>
  <c r="B14" i="2"/>
  <c r="C14" i="2" s="1"/>
  <c r="D14" i="2" s="1"/>
  <c r="E14" i="2" s="1"/>
  <c r="F14" i="2" s="1"/>
  <c r="G14" i="2" s="1"/>
  <c r="H14" i="2" s="1"/>
  <c r="I14" i="2" s="1"/>
  <c r="J14" i="2" s="1"/>
  <c r="K14" i="2" s="1"/>
  <c r="L14" i="2" s="1"/>
  <c r="M14" i="2" s="1"/>
  <c r="N14" i="2" s="1"/>
  <c r="O14" i="2" s="1"/>
  <c r="P14" i="2" s="1"/>
  <c r="Q14" i="2" s="1"/>
  <c r="R14" i="2" s="1"/>
  <c r="S14" i="2" s="1"/>
  <c r="T14" i="2" s="1"/>
  <c r="U14" i="2" s="1"/>
  <c r="V14" i="2" s="1"/>
  <c r="W14" i="2" s="1"/>
  <c r="X14" i="2" s="1"/>
  <c r="Y14" i="2" s="1"/>
  <c r="Z14" i="2" s="1"/>
  <c r="AA14" i="2" s="1"/>
  <c r="AB14" i="2" s="1"/>
  <c r="AC14" i="2" s="1"/>
  <c r="AD14" i="2" s="1"/>
  <c r="AE14" i="2" s="1"/>
  <c r="AF14" i="2" s="1"/>
  <c r="AG14" i="2" s="1"/>
  <c r="AH14" i="2" s="1"/>
  <c r="AI14" i="2" s="1"/>
  <c r="AJ14" i="2" s="1"/>
  <c r="AK14" i="2" s="1"/>
  <c r="AL14" i="2" s="1"/>
  <c r="AM14" i="2" s="1"/>
  <c r="AN14" i="2" s="1"/>
  <c r="AO14" i="2" s="1"/>
  <c r="AP14" i="2" s="1"/>
  <c r="B12" i="2"/>
  <c r="C12" i="2" s="1"/>
  <c r="D12" i="2" s="1"/>
  <c r="E12" i="2" s="1"/>
  <c r="F12" i="2" s="1"/>
  <c r="G12" i="2" s="1"/>
  <c r="H12" i="2" s="1"/>
  <c r="I12" i="2" s="1"/>
  <c r="J12" i="2" s="1"/>
  <c r="K12" i="2" s="1"/>
  <c r="L12" i="2" s="1"/>
  <c r="M12" i="2" s="1"/>
  <c r="N12" i="2" s="1"/>
  <c r="O12" i="2" s="1"/>
  <c r="P12" i="2" s="1"/>
  <c r="Q12" i="2" s="1"/>
  <c r="R12" i="2" s="1"/>
  <c r="S12" i="2" s="1"/>
  <c r="T12" i="2" s="1"/>
  <c r="U12" i="2" s="1"/>
  <c r="V12" i="2" s="1"/>
  <c r="W12" i="2" s="1"/>
  <c r="X12" i="2" s="1"/>
  <c r="Y12" i="2" s="1"/>
  <c r="Z12" i="2" s="1"/>
  <c r="AA12" i="2" s="1"/>
  <c r="AB12" i="2" s="1"/>
  <c r="AC12" i="2" s="1"/>
  <c r="AD12" i="2" s="1"/>
  <c r="AE12" i="2" s="1"/>
  <c r="AF12" i="2" s="1"/>
  <c r="AG12" i="2" s="1"/>
  <c r="AH12" i="2" s="1"/>
  <c r="AI12" i="2" s="1"/>
  <c r="AJ12" i="2" s="1"/>
  <c r="AK12" i="2" s="1"/>
  <c r="AL12" i="2" s="1"/>
  <c r="AM12" i="2" s="1"/>
  <c r="AN12" i="2" s="1"/>
  <c r="AO12" i="2" s="1"/>
  <c r="AP12" i="2" s="1"/>
  <c r="AQ10" i="2"/>
  <c r="AQ9" i="2"/>
  <c r="AQ8" i="2"/>
  <c r="AQ7" i="2"/>
  <c r="AQ6" i="2"/>
  <c r="AQ5" i="2"/>
  <c r="B10" i="1"/>
  <c r="C10" i="1" s="1"/>
  <c r="D10" i="1" s="1"/>
  <c r="E10" i="1" s="1"/>
  <c r="F10" i="1" s="1"/>
  <c r="G10" i="1" s="1"/>
  <c r="H10" i="1" s="1"/>
  <c r="I10" i="1" s="1"/>
  <c r="J10" i="1" s="1"/>
  <c r="K10" i="1" s="1"/>
  <c r="L10" i="1" s="1"/>
  <c r="M10" i="1" s="1"/>
  <c r="N10" i="1" s="1"/>
  <c r="O10" i="1" s="1"/>
  <c r="P10" i="1" s="1"/>
  <c r="Q10" i="1" s="1"/>
  <c r="R10" i="1" s="1"/>
  <c r="S10" i="1" s="1"/>
  <c r="T10" i="1" s="1"/>
  <c r="U10" i="1" s="1"/>
  <c r="V10" i="1" s="1"/>
  <c r="B8" i="1"/>
  <c r="C8" i="1" s="1"/>
  <c r="D8" i="1" s="1"/>
  <c r="W6" i="1"/>
  <c r="W5" i="1"/>
  <c r="F8" i="1" l="1"/>
  <c r="G8" i="1" s="1"/>
  <c r="H8" i="1" s="1"/>
  <c r="I8" i="1" s="1"/>
  <c r="J8" i="1" s="1"/>
  <c r="K8" i="1" s="1"/>
  <c r="L8" i="1" s="1"/>
  <c r="M8" i="1" s="1"/>
  <c r="N8" i="1" s="1"/>
  <c r="O8" i="1" s="1"/>
  <c r="P8" i="1" s="1"/>
  <c r="Q8" i="1" s="1"/>
  <c r="R8" i="1" s="1"/>
  <c r="S8" i="1" s="1"/>
  <c r="T8" i="1" s="1"/>
  <c r="U8" i="1" s="1"/>
  <c r="V8" i="1" s="1"/>
</calcChain>
</file>

<file path=xl/sharedStrings.xml><?xml version="1.0" encoding="utf-8"?>
<sst xmlns="http://schemas.openxmlformats.org/spreadsheetml/2006/main" count="49" uniqueCount="32">
  <si>
    <t>Control del Sprint 2</t>
  </si>
  <si>
    <t>Control del Sprint 3</t>
  </si>
  <si>
    <t>Control del Sprint 0</t>
  </si>
  <si>
    <t>Control del Sprint 1</t>
  </si>
  <si>
    <t>Historias de Usuario o Spike</t>
  </si>
  <si>
    <t>horas estimadas</t>
  </si>
  <si>
    <t>Horas estimadas</t>
  </si>
  <si>
    <t>DIA</t>
  </si>
  <si>
    <t>Total</t>
  </si>
  <si>
    <t>Como equipo de desarrollo, necesito entrenar de forma comparativa diversos algoritmos de aprendizaje automático con el conjunto de datos limpio, con la finalidad de identificar qué modelo presenta la mejor capacidad de ajuste inicial para estimar la carga frutal del Tamarugo.</t>
  </si>
  <si>
    <t xml:space="preserve">Como evaluador docente, necesito revisar el marco de definición, factibilidad y evidencias iniciales del proyecto, con la finalidad de validar el inicio formal de HarvesTam - Edu.
                </t>
  </si>
  <si>
    <t xml:space="preserve">Como usuario interesado, necesito una interfaz web clara con un formulario interactivo para el ingreso de variables del Tamarugo, con la finalidad de registrar los parámetros de campo de manera intuitiva y visualmente ordenada desde cualquier navegador.
</t>
  </si>
  <si>
    <t>Como equipo de desarrollo, necesito calcular y comparar las métricas de rendimiento sobre el conjunto de prueba independiente, con la finalidad de fundamentar con rigor matemático la elección del algoritmo final que se integrará en producción.</t>
  </si>
  <si>
    <t>Como equipo de desarrollo, necesito implementar el backend y los endpoints de conexión que reciban los datos del formulario, carguen el modelo serializado y devuelvan la predicción, con la finalidad de habilitar la inferencia matemática automatizada entre la interfaz de usuario y el artefacto de Machine Learning.</t>
  </si>
  <si>
    <t xml:space="preserve">Como equipo de desarrollo, necesito configurar el repositorio de control de versiones y los canales de gestión ágil, con la finalidad de asegurar la trazabilidad y colaboración del proyecto.
                        </t>
  </si>
  <si>
    <t xml:space="preserve">Como equipo de desarrollo, necesitamos estructurar el Documento de Arquitectura de Software (DAS) con diagramas de alto y bajo nivel, con la finalidad de definir la interacción técnica entre la interfaz web, el backend, la API de inferencia y el modelo serializado previo a su construcción.
		</t>
  </si>
  <si>
    <t>Como equipo de desarrollo, necesito empaquetar y serializar el modelo seleccionado junto a sus transformaciones de preprocesamiento en un archivo persistente, con la finalidad de facilitar su posterior consumo y carga rápida dentro del backend de la plataforma web.</t>
  </si>
  <si>
    <t>Como equipo de desarrollo, necesito realizar pruebas de integración extremo a extremo sobre el flujo completo de consulta web, con la finalidad de certificar la robustez del sistema, la coherencia de los resultados calculados y la usabilidad antes de la entrega final.</t>
  </si>
  <si>
    <t>Como evaluador docente, necesito revisar el informe de avance intermedio y los artefactos parciales de datos y experimentación, con la finalidad de certificar la continuidad operativa, el ritmo de los Sprints y la viabilidad técnica antes del cierre de la Fase 2.</t>
  </si>
  <si>
    <t>Como usuario interesado, necesito registrar una cuenta mediante correo electronico y contraseña, e iniciar sesion con mis credenciales y poder cerrar mi sesion cuando lo decida con la finalidad de disponer de credenciales personales para acceder a las funciones del sistema</t>
  </si>
  <si>
    <t>Reales de producto por realizar</t>
  </si>
  <si>
    <t>Como sistema, quiero restringir la entrada a módulos de consulta y dashboard mediante el control de roles, con la finalidad de garantizar que solo usuarios autenticados operen la herramienta y que las métricas globales queden reservadas para el administrador.</t>
  </si>
  <si>
    <t xml:space="preserve">Como administrador del sistema, quiero visualizar un dashboard interactivo con indicadores consolidados de uso, con la finalidad de conocer el volumen de actividad general, el total de usuarios y las tendencias predictivas registradas en la plataforma.
</t>
  </si>
  <si>
    <t xml:space="preserve">Como equipo de desarrollo, necesitamos realizar un análisis exploratorio y un diagnóstico exhaustivo de calidad sobre los datos históricos del Tamarugo 	Con la finalidad de  para identificar inconsistencias, anomalías numéricas, distribuciones y variables clave asociadas a la carga frutal.
		</t>
  </si>
  <si>
    <t>Como usuario autenticado, necesito consultar el historial personal de mis estimaciones de carga frutal, con la finalidad de llevar un registro trazable de las evaluaciones que he realizado en mis visitas a terreno.</t>
  </si>
  <si>
    <t>Como evaluador docente, necesito examinar la solución integral terminada, el informe final consolidado y el código fuente documentado, con la finalidad de calificar el cumplimiento de las competencias del perfil de egreso y dar por aprobada la Fase 2 del proyecto de titulación.</t>
  </si>
  <si>
    <t>Como equipo de desarrollo, necesitamos construir un pipeline de preprocesamiento para tratar nulos, depurar atípicos y normalizar variables, con la finalidad de generar un conjunto de datos limpio, consistente y apto para el entrenamiento de los algoritmos</t>
  </si>
  <si>
    <t>Estimadas de producto por realizar</t>
  </si>
  <si>
    <t>Como cientifico de datos necesito tener un dataset completo y enriquecido, más allá de las mediciones para trabajar con un elemento eficiente.</t>
  </si>
  <si>
    <t>Como docente evaluador necesito disponder de una interfaz visual que represente el funcionamiento del modelo para tener la certeza de como va a ser el modelo y su funcionamiento.</t>
  </si>
  <si>
    <t>Como evaluador docente, necesito revisar el informe de avance intermedio y lo sartefactos parciales de datos y experimentales con la finalidad de certificar la continuidad operativa, el ritmo de los sprint y la visibilidad tecnica antes del cierre de la fase 2.</t>
  </si>
  <si>
    <t>Se le restan horas debido a que trabajamos en elementos de este sprint para el avance del 50% y tener una parte del sistema hecho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</si>
</sst>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
  </numFmts>
  <fonts count="5" x14ac:knownFonts="1">
    <font>
      <sz val="11"/>
      <color theme="1"/>
      <name val="Calibri"/>
      <scheme val="minor"/>
    </font>
    <font>
      <b/>
      <sz val="16"/>
      <color theme="1"/>
      <name val="Calibri"/>
    </font>
    <font>
      <sz val="11"/>
      <color theme="1"/>
      <name val="Calibri"/>
    </font>
    <font>
      <sz val="11"/>
      <color theme="1"/>
      <name val="Calibri"/>
    </font>
    <font>
      <sz val="11"/>
      <name val="Calibri"/>
    </font>
  </fonts>
  <fills count="5">
    <fill>
      <patternFill patternType="none"/>
    </fill>
    <fill>
      <patternFill patternType="gray125"/>
    </fill>
    <fill>
      <patternFill patternType="solid">
        <fgColor rgb="FFD0CECE"/>
        <bgColor rgb="FFD0CECE"/>
      </patternFill>
    </fill>
    <fill>
      <patternFill patternType="solid">
        <fgColor rgb="FFFFFFFF"/>
        <bgColor rgb="FFFFFFFF"/>
      </patternFill>
    </fill>
    <fill>
      <patternFill patternType="solid">
        <fgColor rgb="FFEFEFEF"/>
        <bgColor rgb="FFEFEFEF"/>
      </patternFill>
    </fill>
  </fills>
  <borders count="19">
    <border>
      <left/>
      <right/>
      <top/>
      <bottom/>
      <diagonal/>
    </border>
    <border>
      <left style="thin">
        <color rgb="FF000000"/>
      </left>
      <right style="thin">
        <color rgb="FF000000"/>
      </right>
      <top style="thin">
        <color rgb="FF000000"/>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style="thin">
        <color rgb="FF000000"/>
      </right>
      <top style="thin">
        <color rgb="FF000000"/>
      </top>
      <bottom style="thin">
        <color rgb="FF000000"/>
      </bottom>
      <diagonal/>
    </border>
    <border>
      <left/>
      <right/>
      <top/>
      <bottom/>
      <diagonal/>
    </border>
    <border>
      <left style="thin">
        <color rgb="FF000000"/>
      </left>
      <right/>
      <top style="thin">
        <color rgb="FF000000"/>
      </top>
      <bottom style="thin">
        <color rgb="FF000000"/>
      </bottom>
      <diagonal/>
    </border>
    <border>
      <left style="thin">
        <color rgb="FF000000"/>
      </left>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s>
  <cellStyleXfs count="1">
    <xf numFmtId="0" fontId="0" fillId="0" borderId="0"/>
  </cellStyleXfs>
  <cellXfs count="54">
    <xf numFmtId="0" fontId="0" fillId="0" borderId="0" xfId="0"/>
    <xf numFmtId="0" fontId="1" fillId="0" borderId="0" xfId="0" applyFont="1"/>
    <xf numFmtId="0" fontId="2" fillId="0" borderId="0" xfId="0" applyFont="1" applyAlignment="1">
      <alignment horizontal="center" vertical="center"/>
    </xf>
    <xf numFmtId="0" fontId="3" fillId="0" borderId="1" xfId="0" applyFont="1" applyBorder="1" applyAlignment="1">
      <alignment horizontal="center" vertical="center"/>
    </xf>
    <xf numFmtId="0" fontId="3" fillId="0" borderId="1" xfId="0" applyFont="1" applyBorder="1"/>
    <xf numFmtId="0" fontId="3" fillId="2" borderId="7" xfId="0" applyFont="1" applyFill="1" applyBorder="1" applyAlignment="1">
      <alignment vertical="center" wrapText="1"/>
    </xf>
    <xf numFmtId="0" fontId="3" fillId="2" borderId="8" xfId="0" applyFont="1" applyFill="1" applyBorder="1" applyAlignment="1">
      <alignment horizontal="center" vertical="center" wrapText="1"/>
    </xf>
    <xf numFmtId="0" fontId="3" fillId="0" borderId="9" xfId="0" applyFont="1" applyBorder="1" applyAlignment="1">
      <alignment horizontal="center" vertical="center"/>
    </xf>
    <xf numFmtId="0" fontId="3" fillId="0" borderId="10" xfId="0" applyFont="1" applyBorder="1" applyAlignment="1">
      <alignment horizontal="center" vertical="center"/>
    </xf>
    <xf numFmtId="0" fontId="3" fillId="3" borderId="7" xfId="0" applyFont="1" applyFill="1" applyBorder="1" applyAlignment="1">
      <alignment vertical="center" wrapText="1"/>
    </xf>
    <xf numFmtId="0" fontId="3" fillId="4" borderId="7" xfId="0" applyFont="1" applyFill="1" applyBorder="1" applyAlignment="1">
      <alignment vertical="center" wrapText="1"/>
    </xf>
    <xf numFmtId="0" fontId="3" fillId="3" borderId="8" xfId="0" applyFont="1" applyFill="1" applyBorder="1" applyAlignment="1">
      <alignment horizontal="center" vertical="center" wrapText="1"/>
    </xf>
    <xf numFmtId="0" fontId="3" fillId="4" borderId="8" xfId="0" applyFont="1" applyFill="1" applyBorder="1" applyAlignment="1">
      <alignment horizontal="center" vertical="center" wrapText="1"/>
    </xf>
    <xf numFmtId="0" fontId="3" fillId="0" borderId="9" xfId="0" applyFont="1" applyBorder="1" applyAlignment="1">
      <alignment horizontal="center" vertical="center" wrapText="1"/>
    </xf>
    <xf numFmtId="0" fontId="3" fillId="0" borderId="10" xfId="0" applyFont="1" applyBorder="1" applyAlignment="1">
      <alignment horizontal="center" vertical="center" wrapText="1"/>
    </xf>
    <xf numFmtId="0" fontId="3" fillId="0" borderId="11" xfId="0" applyFont="1" applyBorder="1" applyAlignment="1">
      <alignment horizontal="center" vertical="center" wrapText="1"/>
    </xf>
    <xf numFmtId="0" fontId="3" fillId="0" borderId="12" xfId="0" applyFont="1" applyBorder="1" applyAlignment="1">
      <alignment horizontal="center" vertical="center"/>
    </xf>
    <xf numFmtId="0" fontId="3" fillId="2" borderId="13" xfId="0" applyFont="1" applyFill="1" applyBorder="1" applyAlignment="1">
      <alignment vertical="center" wrapText="1"/>
    </xf>
    <xf numFmtId="0" fontId="3" fillId="3" borderId="12" xfId="0" applyFont="1" applyFill="1" applyBorder="1" applyAlignment="1">
      <alignment vertical="center" wrapText="1"/>
    </xf>
    <xf numFmtId="0" fontId="3" fillId="2" borderId="14" xfId="0" applyFont="1" applyFill="1" applyBorder="1" applyAlignment="1">
      <alignment horizontal="center" vertical="center" wrapText="1"/>
    </xf>
    <xf numFmtId="0" fontId="3" fillId="0" borderId="15" xfId="0" applyFont="1" applyBorder="1" applyAlignment="1">
      <alignment horizontal="center" vertical="center"/>
    </xf>
    <xf numFmtId="0" fontId="3" fillId="3" borderId="2" xfId="0" applyFont="1" applyFill="1" applyBorder="1" applyAlignment="1">
      <alignment horizontal="center" vertical="center" wrapText="1"/>
    </xf>
    <xf numFmtId="0" fontId="3" fillId="0" borderId="4" xfId="0" applyFont="1" applyBorder="1" applyAlignment="1">
      <alignment horizontal="center" vertical="center" wrapText="1"/>
    </xf>
    <xf numFmtId="0" fontId="3" fillId="0" borderId="0" xfId="0" applyFont="1" applyAlignment="1">
      <alignment horizontal="center" vertical="center"/>
    </xf>
    <xf numFmtId="0" fontId="3" fillId="4" borderId="12" xfId="0" applyFont="1" applyFill="1" applyBorder="1" applyAlignment="1">
      <alignment vertical="center" wrapText="1"/>
    </xf>
    <xf numFmtId="0" fontId="3" fillId="4" borderId="14" xfId="0" applyFont="1" applyFill="1" applyBorder="1" applyAlignment="1">
      <alignment horizontal="center" vertical="center" wrapText="1"/>
    </xf>
    <xf numFmtId="0" fontId="3" fillId="0" borderId="16" xfId="0" applyFont="1" applyBorder="1" applyAlignment="1">
      <alignment horizontal="center" vertical="center" wrapText="1"/>
    </xf>
    <xf numFmtId="0" fontId="3" fillId="0" borderId="12" xfId="0" applyFont="1" applyBorder="1" applyAlignment="1">
      <alignment vertical="center" wrapText="1"/>
    </xf>
    <xf numFmtId="0" fontId="3" fillId="0" borderId="17" xfId="0" applyFont="1" applyBorder="1" applyAlignment="1">
      <alignment horizontal="center" vertical="center" wrapText="1"/>
    </xf>
    <xf numFmtId="0" fontId="3" fillId="0" borderId="6" xfId="0" applyFont="1" applyBorder="1" applyAlignment="1">
      <alignment horizontal="center" vertical="center"/>
    </xf>
    <xf numFmtId="0" fontId="3" fillId="0" borderId="2" xfId="0" applyFont="1" applyBorder="1" applyAlignment="1">
      <alignment horizontal="center" vertical="center" wrapText="1"/>
    </xf>
    <xf numFmtId="0" fontId="3" fillId="0" borderId="12" xfId="0" applyFont="1" applyBorder="1" applyAlignment="1">
      <alignment horizontal="center" vertical="center" wrapText="1"/>
    </xf>
    <xf numFmtId="0" fontId="3" fillId="3" borderId="14" xfId="0" applyFont="1" applyFill="1" applyBorder="1" applyAlignment="1">
      <alignment horizontal="center" vertical="center" wrapText="1"/>
    </xf>
    <xf numFmtId="0" fontId="3" fillId="0" borderId="3" xfId="0" applyFont="1" applyBorder="1" applyAlignment="1">
      <alignment horizontal="center" vertical="center" wrapText="1"/>
    </xf>
    <xf numFmtId="0" fontId="3" fillId="0" borderId="18" xfId="0" applyFont="1" applyBorder="1" applyAlignment="1">
      <alignment horizontal="center" vertical="center" wrapText="1"/>
    </xf>
    <xf numFmtId="0" fontId="3" fillId="0" borderId="16" xfId="0" applyFont="1" applyBorder="1" applyAlignment="1">
      <alignment horizontal="center" vertical="center"/>
    </xf>
    <xf numFmtId="0" fontId="3" fillId="0" borderId="17" xfId="0" applyFont="1" applyBorder="1" applyAlignment="1">
      <alignment horizontal="center" vertical="center"/>
    </xf>
    <xf numFmtId="0" fontId="3" fillId="0" borderId="0" xfId="0" applyFont="1" applyAlignment="1">
      <alignment wrapText="1"/>
    </xf>
    <xf numFmtId="0" fontId="2" fillId="0" borderId="0" xfId="0" applyFont="1"/>
    <xf numFmtId="0" fontId="3" fillId="3" borderId="12" xfId="0" applyFont="1" applyFill="1" applyBorder="1" applyAlignment="1">
      <alignment horizontal="center" vertical="center" wrapText="1"/>
    </xf>
    <xf numFmtId="0" fontId="3" fillId="0" borderId="5" xfId="0" applyFont="1" applyBorder="1" applyAlignment="1">
      <alignment horizontal="center" vertical="center" wrapText="1"/>
    </xf>
    <xf numFmtId="0" fontId="3" fillId="0" borderId="5" xfId="0" applyFont="1" applyBorder="1" applyAlignment="1">
      <alignment horizontal="center" vertical="center"/>
    </xf>
    <xf numFmtId="0" fontId="3" fillId="0" borderId="0" xfId="0" applyFont="1"/>
    <xf numFmtId="0" fontId="3" fillId="0" borderId="0" xfId="0" applyFont="1" applyAlignment="1">
      <alignment horizontal="center" wrapText="1"/>
    </xf>
    <xf numFmtId="164" fontId="2" fillId="0" borderId="0" xfId="0" applyNumberFormat="1" applyFont="1" applyAlignment="1">
      <alignment horizontal="center" vertical="center"/>
    </xf>
    <xf numFmtId="0" fontId="3" fillId="0" borderId="0" xfId="0" applyFont="1" applyAlignment="1">
      <alignment horizontal="center" vertical="center" wrapText="1"/>
    </xf>
    <xf numFmtId="0" fontId="3" fillId="0" borderId="1" xfId="0" applyFont="1" applyBorder="1" applyAlignment="1">
      <alignment horizontal="center" vertical="center"/>
    </xf>
    <xf numFmtId="0" fontId="4" fillId="0" borderId="5" xfId="0" applyFont="1" applyBorder="1"/>
    <xf numFmtId="0" fontId="3" fillId="0" borderId="2" xfId="0" applyFont="1" applyBorder="1" applyAlignment="1">
      <alignment horizontal="center"/>
    </xf>
    <xf numFmtId="0" fontId="4" fillId="0" borderId="3" xfId="0" applyFont="1" applyBorder="1"/>
    <xf numFmtId="0" fontId="4" fillId="0" borderId="4" xfId="0" applyFont="1" applyBorder="1"/>
    <xf numFmtId="0" fontId="4" fillId="0" borderId="6" xfId="0" applyFont="1" applyBorder="1"/>
    <xf numFmtId="0" fontId="3" fillId="0" borderId="2" xfId="0" applyFont="1" applyBorder="1" applyAlignment="1">
      <alignment horizontal="center" vertical="center"/>
    </xf>
    <xf numFmtId="0" fontId="3" fillId="0" borderId="1" xfId="0" applyFont="1" applyBorder="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customschemas.google.com/relationships/workbookmetadata" Target="metadata"/><Relationship Id="rId3" Type="http://schemas.openxmlformats.org/officeDocument/2006/relationships/worksheet" Target="worksheets/sheet3.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haredStrings" Target="sharedStrings.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lvl="0">
              <a:defRPr sz="2000" b="0" i="0">
                <a:solidFill>
                  <a:srgbClr val="757575"/>
                </a:solidFill>
                <a:latin typeface="Calibri"/>
              </a:defRPr>
            </a:pPr>
            <a:r>
              <a:rPr lang="es-CL" sz="2000" b="0" i="0">
                <a:solidFill>
                  <a:srgbClr val="757575"/>
                </a:solidFill>
                <a:latin typeface="Calibri"/>
              </a:rPr>
              <a:t>BurnDown Trabajo Pendiente</a:t>
            </a:r>
          </a:p>
        </c:rich>
      </c:tx>
      <c:overlay val="0"/>
    </c:title>
    <c:autoTitleDeleted val="0"/>
    <c:plotArea>
      <c:layout/>
      <c:lineChart>
        <c:grouping val="standard"/>
        <c:varyColors val="1"/>
        <c:ser>
          <c:idx val="0"/>
          <c:order val="0"/>
          <c:tx>
            <c:v>Reales de producto por realizar</c:v>
          </c:tx>
          <c:spPr>
            <a:ln w="38100" cmpd="sng">
              <a:solidFill>
                <a:schemeClr val="accent1"/>
              </a:solidFill>
            </a:ln>
          </c:spPr>
          <c:marker>
            <c:symbol val="none"/>
          </c:marker>
          <c:cat>
            <c:numRef>
              <c:f>'Sprint 0 '!$C$4:$V$4</c:f>
              <c:numCache>
                <c:formatCode>General</c:formatCode>
                <c:ptCount val="2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numCache>
            </c:numRef>
          </c:cat>
          <c:val>
            <c:numRef>
              <c:f>'Sprint 0 '!$B$8:$V$8</c:f>
              <c:numCache>
                <c:formatCode>General</c:formatCode>
                <c:ptCount val="21"/>
                <c:pt idx="0">
                  <c:v>29</c:v>
                </c:pt>
                <c:pt idx="1">
                  <c:v>29</c:v>
                </c:pt>
                <c:pt idx="2">
                  <c:v>29</c:v>
                </c:pt>
                <c:pt idx="3">
                  <c:v>29</c:v>
                </c:pt>
                <c:pt idx="4">
                  <c:v>27</c:v>
                </c:pt>
                <c:pt idx="5">
                  <c:v>23</c:v>
                </c:pt>
                <c:pt idx="6">
                  <c:v>19</c:v>
                </c:pt>
                <c:pt idx="7">
                  <c:v>14</c:v>
                </c:pt>
                <c:pt idx="8">
                  <c:v>12</c:v>
                </c:pt>
                <c:pt idx="9">
                  <c:v>12</c:v>
                </c:pt>
                <c:pt idx="10">
                  <c:v>10</c:v>
                </c:pt>
                <c:pt idx="11">
                  <c:v>10</c:v>
                </c:pt>
                <c:pt idx="12">
                  <c:v>7</c:v>
                </c:pt>
                <c:pt idx="13">
                  <c:v>6</c:v>
                </c:pt>
                <c:pt idx="14">
                  <c:v>6</c:v>
                </c:pt>
                <c:pt idx="15">
                  <c:v>6</c:v>
                </c:pt>
                <c:pt idx="16">
                  <c:v>5</c:v>
                </c:pt>
                <c:pt idx="17">
                  <c:v>3</c:v>
                </c:pt>
                <c:pt idx="18">
                  <c:v>0</c:v>
                </c:pt>
                <c:pt idx="19">
                  <c:v>0</c:v>
                </c:pt>
                <c:pt idx="20">
                  <c:v>0</c:v>
                </c:pt>
              </c:numCache>
            </c:numRef>
          </c:val>
          <c:smooth val="0"/>
          <c:extLst>
            <c:ext xmlns:c16="http://schemas.microsoft.com/office/drawing/2014/chart" uri="{C3380CC4-5D6E-409C-BE32-E72D297353CC}">
              <c16:uniqueId val="{00000000-E420-4767-8BFF-35E792C3A33D}"/>
            </c:ext>
          </c:extLst>
        </c:ser>
        <c:ser>
          <c:idx val="1"/>
          <c:order val="1"/>
          <c:tx>
            <c:v>Estimadas de producto por realizar</c:v>
          </c:tx>
          <c:spPr>
            <a:ln w="38100" cmpd="sng">
              <a:solidFill>
                <a:schemeClr val="accent2"/>
              </a:solidFill>
            </a:ln>
          </c:spPr>
          <c:marker>
            <c:symbol val="none"/>
          </c:marker>
          <c:cat>
            <c:numRef>
              <c:f>'Sprint 0 '!$C$4:$V$4</c:f>
              <c:numCache>
                <c:formatCode>General</c:formatCode>
                <c:ptCount val="2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numCache>
            </c:numRef>
          </c:cat>
          <c:val>
            <c:numRef>
              <c:f>'Sprint 0 '!$B$10:$V$10</c:f>
              <c:numCache>
                <c:formatCode>General</c:formatCode>
                <c:ptCount val="21"/>
                <c:pt idx="0">
                  <c:v>29</c:v>
                </c:pt>
                <c:pt idx="1">
                  <c:v>27.55</c:v>
                </c:pt>
                <c:pt idx="2">
                  <c:v>26.1</c:v>
                </c:pt>
                <c:pt idx="3">
                  <c:v>24.650000000000002</c:v>
                </c:pt>
                <c:pt idx="4">
                  <c:v>23.200000000000003</c:v>
                </c:pt>
                <c:pt idx="5">
                  <c:v>21.750000000000004</c:v>
                </c:pt>
                <c:pt idx="6">
                  <c:v>20.300000000000004</c:v>
                </c:pt>
                <c:pt idx="7">
                  <c:v>18.850000000000005</c:v>
                </c:pt>
                <c:pt idx="8">
                  <c:v>17.400000000000006</c:v>
                </c:pt>
                <c:pt idx="9">
                  <c:v>15.950000000000006</c:v>
                </c:pt>
                <c:pt idx="10">
                  <c:v>14.500000000000007</c:v>
                </c:pt>
                <c:pt idx="11">
                  <c:v>13.050000000000008</c:v>
                </c:pt>
                <c:pt idx="12">
                  <c:v>11.600000000000009</c:v>
                </c:pt>
                <c:pt idx="13">
                  <c:v>10.150000000000009</c:v>
                </c:pt>
                <c:pt idx="14">
                  <c:v>8.7000000000000099</c:v>
                </c:pt>
                <c:pt idx="15">
                  <c:v>7.2500000000000098</c:v>
                </c:pt>
                <c:pt idx="16">
                  <c:v>5.8000000000000096</c:v>
                </c:pt>
                <c:pt idx="17">
                  <c:v>4.3500000000000094</c:v>
                </c:pt>
                <c:pt idx="18">
                  <c:v>2.9000000000000092</c:v>
                </c:pt>
                <c:pt idx="19">
                  <c:v>1.4500000000000093</c:v>
                </c:pt>
                <c:pt idx="20">
                  <c:v>9.3258734068513149E-15</c:v>
                </c:pt>
              </c:numCache>
            </c:numRef>
          </c:val>
          <c:smooth val="0"/>
          <c:extLst>
            <c:ext xmlns:c16="http://schemas.microsoft.com/office/drawing/2014/chart" uri="{C3380CC4-5D6E-409C-BE32-E72D297353CC}">
              <c16:uniqueId val="{00000001-E420-4767-8BFF-35E792C3A33D}"/>
            </c:ext>
          </c:extLst>
        </c:ser>
        <c:dLbls>
          <c:showLegendKey val="0"/>
          <c:showVal val="0"/>
          <c:showCatName val="0"/>
          <c:showSerName val="0"/>
          <c:showPercent val="0"/>
          <c:showBubbleSize val="0"/>
        </c:dLbls>
        <c:smooth val="0"/>
        <c:axId val="2135049272"/>
        <c:axId val="1826807900"/>
      </c:lineChart>
      <c:catAx>
        <c:axId val="2135049272"/>
        <c:scaling>
          <c:orientation val="minMax"/>
        </c:scaling>
        <c:delete val="0"/>
        <c:axPos val="b"/>
        <c:title>
          <c:tx>
            <c:rich>
              <a:bodyPr/>
              <a:lstStyle/>
              <a:p>
                <a:pPr lvl="0">
                  <a:defRPr sz="900" b="0" i="0">
                    <a:solidFill>
                      <a:srgbClr val="000000"/>
                    </a:solidFill>
                    <a:latin typeface="+mn-lt"/>
                  </a:defRPr>
                </a:pPr>
                <a:r>
                  <a:rPr lang="es-CL" sz="900" b="0" i="0">
                    <a:solidFill>
                      <a:srgbClr val="000000"/>
                    </a:solidFill>
                    <a:latin typeface="+mn-lt"/>
                  </a:rPr>
                  <a:t>DIA</a:t>
                </a:r>
              </a:p>
            </c:rich>
          </c:tx>
          <c:overlay val="0"/>
        </c:title>
        <c:numFmt formatCode="General" sourceLinked="1"/>
        <c:majorTickMark val="none"/>
        <c:minorTickMark val="none"/>
        <c:tickLblPos val="nextTo"/>
        <c:spPr>
          <a:ln>
            <a:noFill/>
          </a:ln>
        </c:spPr>
        <c:txPr>
          <a:bodyPr/>
          <a:lstStyle/>
          <a:p>
            <a:pPr lvl="0">
              <a:defRPr sz="900" b="0" i="0">
                <a:solidFill>
                  <a:srgbClr val="000000"/>
                </a:solidFill>
                <a:latin typeface="+mn-lt"/>
              </a:defRPr>
            </a:pPr>
            <a:endParaRPr lang="es-CL"/>
          </a:p>
        </c:txPr>
        <c:crossAx val="1826807900"/>
        <c:crosses val="autoZero"/>
        <c:auto val="1"/>
        <c:lblAlgn val="ctr"/>
        <c:lblOffset val="100"/>
        <c:noMultiLvlLbl val="1"/>
      </c:catAx>
      <c:valAx>
        <c:axId val="1826807900"/>
        <c:scaling>
          <c:orientation val="minMax"/>
        </c:scaling>
        <c:delete val="0"/>
        <c:axPos val="l"/>
        <c:majorGridlines>
          <c:spPr>
            <a:ln>
              <a:solidFill>
                <a:srgbClr val="B7B7B7"/>
              </a:solidFill>
            </a:ln>
          </c:spPr>
        </c:majorGridlines>
        <c:title>
          <c:tx>
            <c:rich>
              <a:bodyPr/>
              <a:lstStyle/>
              <a:p>
                <a:pPr lvl="0">
                  <a:defRPr sz="900" b="0" i="0">
                    <a:solidFill>
                      <a:srgbClr val="000000"/>
                    </a:solidFill>
                    <a:latin typeface="+mn-lt"/>
                  </a:defRPr>
                </a:pPr>
                <a:r>
                  <a:rPr lang="es-CL" sz="900" b="0" i="0">
                    <a:solidFill>
                      <a:srgbClr val="000000"/>
                    </a:solidFill>
                    <a:latin typeface="+mn-lt"/>
                  </a:rPr>
                  <a:t>HORAS</a:t>
                </a:r>
              </a:p>
            </c:rich>
          </c:tx>
          <c:overlay val="0"/>
        </c:title>
        <c:numFmt formatCode="General" sourceLinked="1"/>
        <c:majorTickMark val="none"/>
        <c:minorTickMark val="none"/>
        <c:tickLblPos val="nextTo"/>
        <c:spPr>
          <a:ln>
            <a:noFill/>
          </a:ln>
        </c:spPr>
        <c:txPr>
          <a:bodyPr/>
          <a:lstStyle/>
          <a:p>
            <a:pPr lvl="0">
              <a:defRPr sz="900" b="0" i="0">
                <a:solidFill>
                  <a:srgbClr val="000000"/>
                </a:solidFill>
                <a:latin typeface="+mn-lt"/>
              </a:defRPr>
            </a:pPr>
            <a:endParaRPr lang="es-CL"/>
          </a:p>
        </c:txPr>
        <c:crossAx val="2135049272"/>
        <c:crosses val="autoZero"/>
        <c:crossBetween val="between"/>
      </c:valAx>
    </c:plotArea>
    <c:legend>
      <c:legendPos val="b"/>
      <c:overlay val="0"/>
      <c:txPr>
        <a:bodyPr/>
        <a:lstStyle/>
        <a:p>
          <a:pPr lvl="0">
            <a:defRPr sz="900" b="0" i="0">
              <a:solidFill>
                <a:srgbClr val="1A1A1A"/>
              </a:solidFill>
              <a:latin typeface="+mn-lt"/>
            </a:defRPr>
          </a:pPr>
          <a:endParaRPr lang="es-CL"/>
        </a:p>
      </c:txPr>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lvl="0">
              <a:defRPr sz="2000" b="0" i="0">
                <a:solidFill>
                  <a:srgbClr val="757575"/>
                </a:solidFill>
                <a:latin typeface="Calibri"/>
              </a:defRPr>
            </a:pPr>
            <a:r>
              <a:rPr lang="es-CL" sz="2000" b="0" i="0">
                <a:solidFill>
                  <a:srgbClr val="757575"/>
                </a:solidFill>
                <a:latin typeface="Calibri"/>
              </a:rPr>
              <a:t>BurnDown Trabajo Pendiente</a:t>
            </a:r>
          </a:p>
        </c:rich>
      </c:tx>
      <c:overlay val="0"/>
    </c:title>
    <c:autoTitleDeleted val="0"/>
    <c:plotArea>
      <c:layout/>
      <c:lineChart>
        <c:grouping val="standard"/>
        <c:varyColors val="1"/>
        <c:ser>
          <c:idx val="0"/>
          <c:order val="0"/>
          <c:tx>
            <c:v>Reales de producto por realizar</c:v>
          </c:tx>
          <c:spPr>
            <a:ln w="38100" cmpd="sng">
              <a:solidFill>
                <a:schemeClr val="accent1"/>
              </a:solidFill>
            </a:ln>
          </c:spPr>
          <c:marker>
            <c:symbol val="none"/>
          </c:marker>
          <c:cat>
            <c:numRef>
              <c:f>'Sprint 1'!$C$4:$AP$4</c:f>
              <c:numCache>
                <c:formatCode>General</c:formatCode>
                <c:ptCount val="4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numCache>
            </c:numRef>
          </c:cat>
          <c:val>
            <c:numRef>
              <c:f>'Sprint 1'!$B$12:$AP$12</c:f>
              <c:numCache>
                <c:formatCode>General</c:formatCode>
                <c:ptCount val="41"/>
                <c:pt idx="0">
                  <c:v>98</c:v>
                </c:pt>
                <c:pt idx="1">
                  <c:v>98</c:v>
                </c:pt>
                <c:pt idx="2">
                  <c:v>97</c:v>
                </c:pt>
                <c:pt idx="3">
                  <c:v>96</c:v>
                </c:pt>
                <c:pt idx="4">
                  <c:v>93</c:v>
                </c:pt>
                <c:pt idx="5">
                  <c:v>90</c:v>
                </c:pt>
                <c:pt idx="6">
                  <c:v>89</c:v>
                </c:pt>
                <c:pt idx="7">
                  <c:v>89</c:v>
                </c:pt>
                <c:pt idx="8">
                  <c:v>89</c:v>
                </c:pt>
                <c:pt idx="9">
                  <c:v>89</c:v>
                </c:pt>
                <c:pt idx="10">
                  <c:v>87</c:v>
                </c:pt>
                <c:pt idx="11">
                  <c:v>85</c:v>
                </c:pt>
                <c:pt idx="12">
                  <c:v>83</c:v>
                </c:pt>
                <c:pt idx="13">
                  <c:v>82</c:v>
                </c:pt>
                <c:pt idx="14">
                  <c:v>80</c:v>
                </c:pt>
                <c:pt idx="15">
                  <c:v>79</c:v>
                </c:pt>
                <c:pt idx="16">
                  <c:v>78</c:v>
                </c:pt>
                <c:pt idx="17">
                  <c:v>76</c:v>
                </c:pt>
                <c:pt idx="18">
                  <c:v>74</c:v>
                </c:pt>
                <c:pt idx="19">
                  <c:v>58</c:v>
                </c:pt>
                <c:pt idx="20">
                  <c:v>42</c:v>
                </c:pt>
                <c:pt idx="21">
                  <c:v>42</c:v>
                </c:pt>
                <c:pt idx="22">
                  <c:v>38</c:v>
                </c:pt>
                <c:pt idx="23">
                  <c:v>38</c:v>
                </c:pt>
                <c:pt idx="24">
                  <c:v>38</c:v>
                </c:pt>
                <c:pt idx="25">
                  <c:v>38</c:v>
                </c:pt>
                <c:pt idx="26">
                  <c:v>34</c:v>
                </c:pt>
                <c:pt idx="27">
                  <c:v>33</c:v>
                </c:pt>
                <c:pt idx="28">
                  <c:v>33</c:v>
                </c:pt>
                <c:pt idx="29">
                  <c:v>33</c:v>
                </c:pt>
                <c:pt idx="30">
                  <c:v>33</c:v>
                </c:pt>
                <c:pt idx="31">
                  <c:v>31</c:v>
                </c:pt>
                <c:pt idx="32">
                  <c:v>30</c:v>
                </c:pt>
                <c:pt idx="33">
                  <c:v>15</c:v>
                </c:pt>
                <c:pt idx="34">
                  <c:v>15</c:v>
                </c:pt>
                <c:pt idx="35">
                  <c:v>11</c:v>
                </c:pt>
                <c:pt idx="36">
                  <c:v>11</c:v>
                </c:pt>
                <c:pt idx="37">
                  <c:v>11</c:v>
                </c:pt>
                <c:pt idx="38">
                  <c:v>11</c:v>
                </c:pt>
                <c:pt idx="39">
                  <c:v>6</c:v>
                </c:pt>
                <c:pt idx="40">
                  <c:v>1</c:v>
                </c:pt>
              </c:numCache>
            </c:numRef>
          </c:val>
          <c:smooth val="0"/>
          <c:extLst>
            <c:ext xmlns:c16="http://schemas.microsoft.com/office/drawing/2014/chart" uri="{C3380CC4-5D6E-409C-BE32-E72D297353CC}">
              <c16:uniqueId val="{00000000-F245-409B-B025-07F008785F4D}"/>
            </c:ext>
          </c:extLst>
        </c:ser>
        <c:ser>
          <c:idx val="1"/>
          <c:order val="1"/>
          <c:tx>
            <c:v>Estimadas de producto por realizar</c:v>
          </c:tx>
          <c:spPr>
            <a:ln w="38100" cmpd="sng">
              <a:solidFill>
                <a:schemeClr val="accent2"/>
              </a:solidFill>
            </a:ln>
          </c:spPr>
          <c:marker>
            <c:symbol val="none"/>
          </c:marker>
          <c:cat>
            <c:numRef>
              <c:f>'Sprint 1'!$C$4:$AP$4</c:f>
              <c:numCache>
                <c:formatCode>General</c:formatCode>
                <c:ptCount val="4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pt idx="22">
                  <c:v>23</c:v>
                </c:pt>
                <c:pt idx="23">
                  <c:v>24</c:v>
                </c:pt>
                <c:pt idx="24">
                  <c:v>25</c:v>
                </c:pt>
                <c:pt idx="25">
                  <c:v>26</c:v>
                </c:pt>
                <c:pt idx="26">
                  <c:v>27</c:v>
                </c:pt>
                <c:pt idx="27">
                  <c:v>28</c:v>
                </c:pt>
                <c:pt idx="28">
                  <c:v>29</c:v>
                </c:pt>
                <c:pt idx="29">
                  <c:v>30</c:v>
                </c:pt>
                <c:pt idx="30">
                  <c:v>31</c:v>
                </c:pt>
                <c:pt idx="31">
                  <c:v>32</c:v>
                </c:pt>
                <c:pt idx="32">
                  <c:v>33</c:v>
                </c:pt>
                <c:pt idx="33">
                  <c:v>34</c:v>
                </c:pt>
                <c:pt idx="34">
                  <c:v>35</c:v>
                </c:pt>
                <c:pt idx="35">
                  <c:v>36</c:v>
                </c:pt>
                <c:pt idx="36">
                  <c:v>37</c:v>
                </c:pt>
                <c:pt idx="37">
                  <c:v>38</c:v>
                </c:pt>
                <c:pt idx="38">
                  <c:v>39</c:v>
                </c:pt>
                <c:pt idx="39">
                  <c:v>40</c:v>
                </c:pt>
              </c:numCache>
            </c:numRef>
          </c:cat>
          <c:val>
            <c:numRef>
              <c:f>'Sprint 1'!$B$14:$AP$14</c:f>
              <c:numCache>
                <c:formatCode>0.0</c:formatCode>
                <c:ptCount val="41"/>
                <c:pt idx="0">
                  <c:v>98</c:v>
                </c:pt>
                <c:pt idx="1">
                  <c:v>95.6</c:v>
                </c:pt>
                <c:pt idx="2">
                  <c:v>93.2</c:v>
                </c:pt>
                <c:pt idx="3">
                  <c:v>90.8</c:v>
                </c:pt>
                <c:pt idx="4">
                  <c:v>88.4</c:v>
                </c:pt>
                <c:pt idx="5">
                  <c:v>86</c:v>
                </c:pt>
                <c:pt idx="6">
                  <c:v>83.6</c:v>
                </c:pt>
                <c:pt idx="7">
                  <c:v>81.2</c:v>
                </c:pt>
                <c:pt idx="8">
                  <c:v>78.8</c:v>
                </c:pt>
                <c:pt idx="9">
                  <c:v>76.400000000000006</c:v>
                </c:pt>
                <c:pt idx="10">
                  <c:v>74</c:v>
                </c:pt>
                <c:pt idx="11">
                  <c:v>71.599999999999994</c:v>
                </c:pt>
                <c:pt idx="12">
                  <c:v>69.2</c:v>
                </c:pt>
                <c:pt idx="13">
                  <c:v>66.8</c:v>
                </c:pt>
                <c:pt idx="14">
                  <c:v>64.400000000000006</c:v>
                </c:pt>
                <c:pt idx="15">
                  <c:v>62</c:v>
                </c:pt>
                <c:pt idx="16">
                  <c:v>59.6</c:v>
                </c:pt>
                <c:pt idx="17">
                  <c:v>57.2</c:v>
                </c:pt>
                <c:pt idx="18">
                  <c:v>54.8</c:v>
                </c:pt>
                <c:pt idx="19">
                  <c:v>52.4</c:v>
                </c:pt>
                <c:pt idx="20">
                  <c:v>50</c:v>
                </c:pt>
                <c:pt idx="21">
                  <c:v>47.6</c:v>
                </c:pt>
                <c:pt idx="22">
                  <c:v>45.2</c:v>
                </c:pt>
                <c:pt idx="23">
                  <c:v>42.8</c:v>
                </c:pt>
                <c:pt idx="24">
                  <c:v>40.4</c:v>
                </c:pt>
                <c:pt idx="25">
                  <c:v>38</c:v>
                </c:pt>
                <c:pt idx="26">
                  <c:v>35.6</c:v>
                </c:pt>
                <c:pt idx="27">
                  <c:v>33.200000000000003</c:v>
                </c:pt>
                <c:pt idx="28">
                  <c:v>30.8</c:v>
                </c:pt>
                <c:pt idx="29">
                  <c:v>28.4</c:v>
                </c:pt>
                <c:pt idx="30">
                  <c:v>26</c:v>
                </c:pt>
                <c:pt idx="31">
                  <c:v>23.6</c:v>
                </c:pt>
                <c:pt idx="32">
                  <c:v>21.2</c:v>
                </c:pt>
                <c:pt idx="33">
                  <c:v>18.8</c:v>
                </c:pt>
                <c:pt idx="34">
                  <c:v>16.399999999999999</c:v>
                </c:pt>
                <c:pt idx="35">
                  <c:v>14</c:v>
                </c:pt>
                <c:pt idx="36">
                  <c:v>11.6</c:v>
                </c:pt>
                <c:pt idx="37">
                  <c:v>9.1999999999999993</c:v>
                </c:pt>
                <c:pt idx="38">
                  <c:v>6.8</c:v>
                </c:pt>
                <c:pt idx="39">
                  <c:v>4.4000000000000004</c:v>
                </c:pt>
                <c:pt idx="40">
                  <c:v>2</c:v>
                </c:pt>
              </c:numCache>
            </c:numRef>
          </c:val>
          <c:smooth val="0"/>
          <c:extLst>
            <c:ext xmlns:c16="http://schemas.microsoft.com/office/drawing/2014/chart" uri="{C3380CC4-5D6E-409C-BE32-E72D297353CC}">
              <c16:uniqueId val="{00000001-F245-409B-B025-07F008785F4D}"/>
            </c:ext>
          </c:extLst>
        </c:ser>
        <c:dLbls>
          <c:showLegendKey val="0"/>
          <c:showVal val="0"/>
          <c:showCatName val="0"/>
          <c:showSerName val="0"/>
          <c:showPercent val="0"/>
          <c:showBubbleSize val="0"/>
        </c:dLbls>
        <c:smooth val="0"/>
        <c:axId val="1616903056"/>
        <c:axId val="880346090"/>
      </c:lineChart>
      <c:catAx>
        <c:axId val="1616903056"/>
        <c:scaling>
          <c:orientation val="minMax"/>
        </c:scaling>
        <c:delete val="0"/>
        <c:axPos val="b"/>
        <c:title>
          <c:tx>
            <c:rich>
              <a:bodyPr/>
              <a:lstStyle/>
              <a:p>
                <a:pPr lvl="0">
                  <a:defRPr sz="900" b="0" i="0">
                    <a:solidFill>
                      <a:srgbClr val="000000"/>
                    </a:solidFill>
                    <a:latin typeface="+mn-lt"/>
                  </a:defRPr>
                </a:pPr>
                <a:r>
                  <a:rPr lang="es-CL" sz="900" b="0" i="0">
                    <a:solidFill>
                      <a:srgbClr val="000000"/>
                    </a:solidFill>
                    <a:latin typeface="+mn-lt"/>
                  </a:rPr>
                  <a:t>DIA</a:t>
                </a:r>
              </a:p>
            </c:rich>
          </c:tx>
          <c:overlay val="0"/>
        </c:title>
        <c:numFmt formatCode="General" sourceLinked="1"/>
        <c:majorTickMark val="none"/>
        <c:minorTickMark val="none"/>
        <c:tickLblPos val="nextTo"/>
        <c:spPr>
          <a:ln>
            <a:noFill/>
          </a:ln>
        </c:spPr>
        <c:txPr>
          <a:bodyPr/>
          <a:lstStyle/>
          <a:p>
            <a:pPr lvl="0">
              <a:defRPr sz="900" b="0" i="0">
                <a:solidFill>
                  <a:srgbClr val="000000"/>
                </a:solidFill>
                <a:latin typeface="+mn-lt"/>
              </a:defRPr>
            </a:pPr>
            <a:endParaRPr lang="es-CL"/>
          </a:p>
        </c:txPr>
        <c:crossAx val="880346090"/>
        <c:crosses val="autoZero"/>
        <c:auto val="1"/>
        <c:lblAlgn val="ctr"/>
        <c:lblOffset val="100"/>
        <c:noMultiLvlLbl val="1"/>
      </c:catAx>
      <c:valAx>
        <c:axId val="880346090"/>
        <c:scaling>
          <c:orientation val="minMax"/>
        </c:scaling>
        <c:delete val="0"/>
        <c:axPos val="l"/>
        <c:majorGridlines>
          <c:spPr>
            <a:ln>
              <a:solidFill>
                <a:srgbClr val="B7B7B7"/>
              </a:solidFill>
            </a:ln>
          </c:spPr>
        </c:majorGridlines>
        <c:title>
          <c:tx>
            <c:rich>
              <a:bodyPr/>
              <a:lstStyle/>
              <a:p>
                <a:pPr lvl="0">
                  <a:defRPr sz="900" b="0" i="0">
                    <a:solidFill>
                      <a:srgbClr val="000000"/>
                    </a:solidFill>
                    <a:latin typeface="+mn-lt"/>
                  </a:defRPr>
                </a:pPr>
                <a:r>
                  <a:rPr lang="es-CL" sz="900" b="0" i="0">
                    <a:solidFill>
                      <a:srgbClr val="000000"/>
                    </a:solidFill>
                    <a:latin typeface="+mn-lt"/>
                  </a:rPr>
                  <a:t>HORAS</a:t>
                </a:r>
              </a:p>
            </c:rich>
          </c:tx>
          <c:overlay val="0"/>
        </c:title>
        <c:numFmt formatCode="General" sourceLinked="1"/>
        <c:majorTickMark val="none"/>
        <c:minorTickMark val="none"/>
        <c:tickLblPos val="nextTo"/>
        <c:spPr>
          <a:ln>
            <a:noFill/>
          </a:ln>
        </c:spPr>
        <c:txPr>
          <a:bodyPr/>
          <a:lstStyle/>
          <a:p>
            <a:pPr lvl="0">
              <a:defRPr sz="900" b="0" i="0">
                <a:solidFill>
                  <a:srgbClr val="000000"/>
                </a:solidFill>
                <a:latin typeface="+mn-lt"/>
              </a:defRPr>
            </a:pPr>
            <a:endParaRPr lang="es-CL"/>
          </a:p>
        </c:txPr>
        <c:crossAx val="1616903056"/>
        <c:crosses val="autoZero"/>
        <c:crossBetween val="between"/>
      </c:valAx>
    </c:plotArea>
    <c:legend>
      <c:legendPos val="b"/>
      <c:overlay val="0"/>
      <c:txPr>
        <a:bodyPr/>
        <a:lstStyle/>
        <a:p>
          <a:pPr lvl="0">
            <a:defRPr sz="900" b="0" i="0">
              <a:solidFill>
                <a:srgbClr val="1A1A1A"/>
              </a:solidFill>
              <a:latin typeface="+mn-lt"/>
            </a:defRPr>
          </a:pPr>
          <a:endParaRPr lang="es-CL"/>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lvl="0">
              <a:defRPr sz="2000" b="0" i="0">
                <a:solidFill>
                  <a:srgbClr val="757575"/>
                </a:solidFill>
                <a:latin typeface="Calibri"/>
              </a:defRPr>
            </a:pPr>
            <a:r>
              <a:rPr lang="es-CL" sz="2000" b="0" i="0">
                <a:solidFill>
                  <a:srgbClr val="757575"/>
                </a:solidFill>
                <a:latin typeface="Calibri"/>
              </a:rPr>
              <a:t>BurnDown Trabajo Pendiente</a:t>
            </a:r>
          </a:p>
        </c:rich>
      </c:tx>
      <c:overlay val="0"/>
    </c:title>
    <c:autoTitleDeleted val="0"/>
    <c:plotArea>
      <c:layout/>
      <c:lineChart>
        <c:grouping val="standard"/>
        <c:varyColors val="1"/>
        <c:ser>
          <c:idx val="0"/>
          <c:order val="0"/>
          <c:tx>
            <c:v>Reales de producto por realizar</c:v>
          </c:tx>
          <c:spPr>
            <a:ln w="38100" cmpd="sng">
              <a:solidFill>
                <a:schemeClr val="accent1"/>
              </a:solidFill>
            </a:ln>
          </c:spPr>
          <c:marker>
            <c:symbol val="none"/>
          </c:marker>
          <c:cat>
            <c:numRef>
              <c:f>'Sprint 2'!$C$4:$X$4</c:f>
              <c:numCache>
                <c:formatCode>General</c:formatCode>
                <c:ptCount val="22"/>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numCache>
            </c:numRef>
          </c:cat>
          <c:val>
            <c:numRef>
              <c:f>'Sprint 2'!$B$10:$X$10</c:f>
              <c:numCache>
                <c:formatCode>General</c:formatCode>
                <c:ptCount val="23"/>
                <c:pt idx="0">
                  <c:v>27</c:v>
                </c:pt>
                <c:pt idx="1">
                  <c:v>27</c:v>
                </c:pt>
                <c:pt idx="2">
                  <c:v>27</c:v>
                </c:pt>
                <c:pt idx="3">
                  <c:v>27</c:v>
                </c:pt>
                <c:pt idx="4">
                  <c:v>27</c:v>
                </c:pt>
                <c:pt idx="5">
                  <c:v>27</c:v>
                </c:pt>
                <c:pt idx="6">
                  <c:v>27</c:v>
                </c:pt>
                <c:pt idx="7">
                  <c:v>27</c:v>
                </c:pt>
                <c:pt idx="8">
                  <c:v>27</c:v>
                </c:pt>
                <c:pt idx="9">
                  <c:v>27</c:v>
                </c:pt>
                <c:pt idx="10">
                  <c:v>27</c:v>
                </c:pt>
                <c:pt idx="11">
                  <c:v>27</c:v>
                </c:pt>
                <c:pt idx="12">
                  <c:v>27</c:v>
                </c:pt>
                <c:pt idx="13">
                  <c:v>27</c:v>
                </c:pt>
                <c:pt idx="14">
                  <c:v>27</c:v>
                </c:pt>
                <c:pt idx="15">
                  <c:v>27</c:v>
                </c:pt>
                <c:pt idx="16">
                  <c:v>27</c:v>
                </c:pt>
                <c:pt idx="17">
                  <c:v>27</c:v>
                </c:pt>
                <c:pt idx="18">
                  <c:v>27</c:v>
                </c:pt>
                <c:pt idx="19">
                  <c:v>27</c:v>
                </c:pt>
                <c:pt idx="20">
                  <c:v>27</c:v>
                </c:pt>
                <c:pt idx="21">
                  <c:v>27</c:v>
                </c:pt>
                <c:pt idx="22">
                  <c:v>27</c:v>
                </c:pt>
              </c:numCache>
            </c:numRef>
          </c:val>
          <c:smooth val="0"/>
          <c:extLst>
            <c:ext xmlns:c16="http://schemas.microsoft.com/office/drawing/2014/chart" uri="{C3380CC4-5D6E-409C-BE32-E72D297353CC}">
              <c16:uniqueId val="{00000000-E929-4B38-812C-66E756D46A00}"/>
            </c:ext>
          </c:extLst>
        </c:ser>
        <c:ser>
          <c:idx val="1"/>
          <c:order val="1"/>
          <c:tx>
            <c:v>Estimadas de producto por realizar</c:v>
          </c:tx>
          <c:spPr>
            <a:ln w="38100" cmpd="sng">
              <a:solidFill>
                <a:schemeClr val="accent2"/>
              </a:solidFill>
            </a:ln>
          </c:spPr>
          <c:marker>
            <c:symbol val="none"/>
          </c:marker>
          <c:cat>
            <c:numRef>
              <c:f>'Sprint 2'!$C$4:$X$4</c:f>
              <c:numCache>
                <c:formatCode>General</c:formatCode>
                <c:ptCount val="22"/>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pt idx="20">
                  <c:v>21</c:v>
                </c:pt>
                <c:pt idx="21">
                  <c:v>22</c:v>
                </c:pt>
              </c:numCache>
            </c:numRef>
          </c:cat>
          <c:val>
            <c:numRef>
              <c:f>'Sprint 2'!$B$12:$X$12</c:f>
              <c:numCache>
                <c:formatCode>General</c:formatCode>
                <c:ptCount val="23"/>
                <c:pt idx="0">
                  <c:v>27</c:v>
                </c:pt>
                <c:pt idx="1">
                  <c:v>25.8</c:v>
                </c:pt>
                <c:pt idx="2">
                  <c:v>24.6</c:v>
                </c:pt>
                <c:pt idx="3">
                  <c:v>23.4</c:v>
                </c:pt>
                <c:pt idx="4">
                  <c:v>22.2</c:v>
                </c:pt>
                <c:pt idx="5">
                  <c:v>21</c:v>
                </c:pt>
                <c:pt idx="6">
                  <c:v>19.8</c:v>
                </c:pt>
                <c:pt idx="7">
                  <c:v>18.600000000000001</c:v>
                </c:pt>
                <c:pt idx="8">
                  <c:v>17.399999999999999</c:v>
                </c:pt>
                <c:pt idx="9">
                  <c:v>16.2</c:v>
                </c:pt>
                <c:pt idx="10">
                  <c:v>15</c:v>
                </c:pt>
                <c:pt idx="11">
                  <c:v>13.8</c:v>
                </c:pt>
                <c:pt idx="12">
                  <c:v>12.6</c:v>
                </c:pt>
                <c:pt idx="13">
                  <c:v>11.4</c:v>
                </c:pt>
                <c:pt idx="14">
                  <c:v>10.199999999999999</c:v>
                </c:pt>
                <c:pt idx="15">
                  <c:v>9</c:v>
                </c:pt>
                <c:pt idx="16">
                  <c:v>7.8</c:v>
                </c:pt>
                <c:pt idx="17">
                  <c:v>6.6</c:v>
                </c:pt>
                <c:pt idx="18">
                  <c:v>5.4</c:v>
                </c:pt>
                <c:pt idx="19">
                  <c:v>4.2</c:v>
                </c:pt>
                <c:pt idx="20">
                  <c:v>3</c:v>
                </c:pt>
                <c:pt idx="21">
                  <c:v>1.8</c:v>
                </c:pt>
                <c:pt idx="22">
                  <c:v>0.6</c:v>
                </c:pt>
              </c:numCache>
            </c:numRef>
          </c:val>
          <c:smooth val="0"/>
          <c:extLst>
            <c:ext xmlns:c16="http://schemas.microsoft.com/office/drawing/2014/chart" uri="{C3380CC4-5D6E-409C-BE32-E72D297353CC}">
              <c16:uniqueId val="{00000001-E929-4B38-812C-66E756D46A00}"/>
            </c:ext>
          </c:extLst>
        </c:ser>
        <c:dLbls>
          <c:showLegendKey val="0"/>
          <c:showVal val="0"/>
          <c:showCatName val="0"/>
          <c:showSerName val="0"/>
          <c:showPercent val="0"/>
          <c:showBubbleSize val="0"/>
        </c:dLbls>
        <c:smooth val="0"/>
        <c:axId val="1991144163"/>
        <c:axId val="1399953891"/>
      </c:lineChart>
      <c:catAx>
        <c:axId val="1991144163"/>
        <c:scaling>
          <c:orientation val="minMax"/>
        </c:scaling>
        <c:delete val="0"/>
        <c:axPos val="b"/>
        <c:title>
          <c:tx>
            <c:rich>
              <a:bodyPr/>
              <a:lstStyle/>
              <a:p>
                <a:pPr lvl="0">
                  <a:defRPr sz="900" b="0" i="0">
                    <a:solidFill>
                      <a:srgbClr val="000000"/>
                    </a:solidFill>
                    <a:latin typeface="+mn-lt"/>
                  </a:defRPr>
                </a:pPr>
                <a:r>
                  <a:rPr lang="es-CL" sz="900" b="0" i="0">
                    <a:solidFill>
                      <a:srgbClr val="000000"/>
                    </a:solidFill>
                    <a:latin typeface="+mn-lt"/>
                  </a:rPr>
                  <a:t>DIA</a:t>
                </a:r>
              </a:p>
            </c:rich>
          </c:tx>
          <c:overlay val="0"/>
        </c:title>
        <c:numFmt formatCode="General" sourceLinked="1"/>
        <c:majorTickMark val="none"/>
        <c:minorTickMark val="none"/>
        <c:tickLblPos val="nextTo"/>
        <c:spPr>
          <a:ln>
            <a:noFill/>
          </a:ln>
        </c:spPr>
        <c:txPr>
          <a:bodyPr/>
          <a:lstStyle/>
          <a:p>
            <a:pPr lvl="0">
              <a:defRPr sz="900" b="0" i="0">
                <a:solidFill>
                  <a:srgbClr val="000000"/>
                </a:solidFill>
                <a:latin typeface="+mn-lt"/>
              </a:defRPr>
            </a:pPr>
            <a:endParaRPr lang="es-CL"/>
          </a:p>
        </c:txPr>
        <c:crossAx val="1399953891"/>
        <c:crosses val="autoZero"/>
        <c:auto val="1"/>
        <c:lblAlgn val="ctr"/>
        <c:lblOffset val="100"/>
        <c:noMultiLvlLbl val="1"/>
      </c:catAx>
      <c:valAx>
        <c:axId val="1399953891"/>
        <c:scaling>
          <c:orientation val="minMax"/>
        </c:scaling>
        <c:delete val="0"/>
        <c:axPos val="l"/>
        <c:majorGridlines>
          <c:spPr>
            <a:ln>
              <a:solidFill>
                <a:srgbClr val="B7B7B7"/>
              </a:solidFill>
            </a:ln>
          </c:spPr>
        </c:majorGridlines>
        <c:title>
          <c:tx>
            <c:rich>
              <a:bodyPr/>
              <a:lstStyle/>
              <a:p>
                <a:pPr lvl="0">
                  <a:defRPr sz="900" b="0" i="0">
                    <a:solidFill>
                      <a:srgbClr val="000000"/>
                    </a:solidFill>
                    <a:latin typeface="+mn-lt"/>
                  </a:defRPr>
                </a:pPr>
                <a:r>
                  <a:rPr lang="es-CL" sz="900" b="0" i="0">
                    <a:solidFill>
                      <a:srgbClr val="000000"/>
                    </a:solidFill>
                    <a:latin typeface="+mn-lt"/>
                  </a:rPr>
                  <a:t>HORAS</a:t>
                </a:r>
              </a:p>
            </c:rich>
          </c:tx>
          <c:overlay val="0"/>
        </c:title>
        <c:numFmt formatCode="General" sourceLinked="1"/>
        <c:majorTickMark val="none"/>
        <c:minorTickMark val="none"/>
        <c:tickLblPos val="nextTo"/>
        <c:spPr>
          <a:ln>
            <a:noFill/>
          </a:ln>
        </c:spPr>
        <c:txPr>
          <a:bodyPr/>
          <a:lstStyle/>
          <a:p>
            <a:pPr lvl="0">
              <a:defRPr sz="900" b="0" i="0">
                <a:solidFill>
                  <a:srgbClr val="000000"/>
                </a:solidFill>
                <a:latin typeface="+mn-lt"/>
              </a:defRPr>
            </a:pPr>
            <a:endParaRPr lang="es-CL"/>
          </a:p>
        </c:txPr>
        <c:crossAx val="1991144163"/>
        <c:crosses val="autoZero"/>
        <c:crossBetween val="between"/>
      </c:valAx>
    </c:plotArea>
    <c:legend>
      <c:legendPos val="b"/>
      <c:overlay val="0"/>
      <c:txPr>
        <a:bodyPr/>
        <a:lstStyle/>
        <a:p>
          <a:pPr lvl="0">
            <a:defRPr sz="900" b="0" i="0">
              <a:solidFill>
                <a:srgbClr val="1A1A1A"/>
              </a:solidFill>
              <a:latin typeface="+mn-lt"/>
            </a:defRPr>
          </a:pPr>
          <a:endParaRPr lang="es-CL"/>
        </a:p>
      </c:txPr>
    </c:legend>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s-ES"/>
  <c:roundedCorners val="1"/>
  <c:style val="2"/>
  <c:chart>
    <c:title>
      <c:tx>
        <c:rich>
          <a:bodyPr/>
          <a:lstStyle/>
          <a:p>
            <a:pPr lvl="0">
              <a:defRPr sz="2000" b="0" i="0">
                <a:solidFill>
                  <a:srgbClr val="757575"/>
                </a:solidFill>
                <a:latin typeface="Calibri"/>
              </a:defRPr>
            </a:pPr>
            <a:r>
              <a:rPr lang="es-CL" sz="2000" b="0" i="0">
                <a:solidFill>
                  <a:srgbClr val="757575"/>
                </a:solidFill>
                <a:latin typeface="Calibri"/>
              </a:rPr>
              <a:t>BurnDown Trabajo Pendiente</a:t>
            </a:r>
          </a:p>
        </c:rich>
      </c:tx>
      <c:overlay val="0"/>
    </c:title>
    <c:autoTitleDeleted val="0"/>
    <c:plotArea>
      <c:layout/>
      <c:lineChart>
        <c:grouping val="standard"/>
        <c:varyColors val="1"/>
        <c:ser>
          <c:idx val="0"/>
          <c:order val="0"/>
          <c:tx>
            <c:v>Reales de producto por realizar</c:v>
          </c:tx>
          <c:spPr>
            <a:ln w="38100" cmpd="sng">
              <a:solidFill>
                <a:schemeClr val="accent1"/>
              </a:solidFill>
            </a:ln>
          </c:spPr>
          <c:marker>
            <c:symbol val="none"/>
          </c:marker>
          <c:cat>
            <c:numRef>
              <c:f>'Sprint 3'!$C$4:$V$4</c:f>
              <c:numCache>
                <c:formatCode>General</c:formatCode>
                <c:ptCount val="2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numCache>
            </c:numRef>
          </c:cat>
          <c:val>
            <c:numRef>
              <c:f>'Sprint 3'!$B$14:$V$14</c:f>
              <c:numCache>
                <c:formatCode>General</c:formatCode>
                <c:ptCount val="21"/>
                <c:pt idx="0">
                  <c:v>59</c:v>
                </c:pt>
                <c:pt idx="1">
                  <c:v>59</c:v>
                </c:pt>
                <c:pt idx="2">
                  <c:v>59</c:v>
                </c:pt>
                <c:pt idx="3">
                  <c:v>59</c:v>
                </c:pt>
                <c:pt idx="4">
                  <c:v>59</c:v>
                </c:pt>
                <c:pt idx="5">
                  <c:v>59</c:v>
                </c:pt>
                <c:pt idx="6">
                  <c:v>59</c:v>
                </c:pt>
                <c:pt idx="7">
                  <c:v>59</c:v>
                </c:pt>
                <c:pt idx="8">
                  <c:v>59</c:v>
                </c:pt>
                <c:pt idx="9">
                  <c:v>59</c:v>
                </c:pt>
                <c:pt idx="10">
                  <c:v>59</c:v>
                </c:pt>
                <c:pt idx="11">
                  <c:v>59</c:v>
                </c:pt>
                <c:pt idx="12">
                  <c:v>59</c:v>
                </c:pt>
                <c:pt idx="13">
                  <c:v>59</c:v>
                </c:pt>
                <c:pt idx="14">
                  <c:v>59</c:v>
                </c:pt>
                <c:pt idx="15">
                  <c:v>59</c:v>
                </c:pt>
                <c:pt idx="16">
                  <c:v>59</c:v>
                </c:pt>
                <c:pt idx="17">
                  <c:v>59</c:v>
                </c:pt>
                <c:pt idx="18">
                  <c:v>59</c:v>
                </c:pt>
                <c:pt idx="19">
                  <c:v>59</c:v>
                </c:pt>
                <c:pt idx="20">
                  <c:v>59</c:v>
                </c:pt>
              </c:numCache>
            </c:numRef>
          </c:val>
          <c:smooth val="0"/>
          <c:extLst>
            <c:ext xmlns:c16="http://schemas.microsoft.com/office/drawing/2014/chart" uri="{C3380CC4-5D6E-409C-BE32-E72D297353CC}">
              <c16:uniqueId val="{00000000-DA30-48EB-A420-68A9E6DC0C02}"/>
            </c:ext>
          </c:extLst>
        </c:ser>
        <c:ser>
          <c:idx val="1"/>
          <c:order val="1"/>
          <c:tx>
            <c:v>Estimadas de producto por realizar</c:v>
          </c:tx>
          <c:spPr>
            <a:ln w="38100" cmpd="sng">
              <a:solidFill>
                <a:schemeClr val="accent2"/>
              </a:solidFill>
            </a:ln>
          </c:spPr>
          <c:marker>
            <c:symbol val="none"/>
          </c:marker>
          <c:cat>
            <c:numRef>
              <c:f>'Sprint 3'!$C$4:$V$4</c:f>
              <c:numCache>
                <c:formatCode>General</c:formatCode>
                <c:ptCount val="20"/>
                <c:pt idx="0">
                  <c:v>1</c:v>
                </c:pt>
                <c:pt idx="1">
                  <c:v>2</c:v>
                </c:pt>
                <c:pt idx="2">
                  <c:v>3</c:v>
                </c:pt>
                <c:pt idx="3">
                  <c:v>4</c:v>
                </c:pt>
                <c:pt idx="4">
                  <c:v>5</c:v>
                </c:pt>
                <c:pt idx="5">
                  <c:v>6</c:v>
                </c:pt>
                <c:pt idx="6">
                  <c:v>7</c:v>
                </c:pt>
                <c:pt idx="7">
                  <c:v>8</c:v>
                </c:pt>
                <c:pt idx="8">
                  <c:v>9</c:v>
                </c:pt>
                <c:pt idx="9">
                  <c:v>10</c:v>
                </c:pt>
                <c:pt idx="10">
                  <c:v>11</c:v>
                </c:pt>
                <c:pt idx="11">
                  <c:v>12</c:v>
                </c:pt>
                <c:pt idx="12">
                  <c:v>13</c:v>
                </c:pt>
                <c:pt idx="13">
                  <c:v>14</c:v>
                </c:pt>
                <c:pt idx="14">
                  <c:v>15</c:v>
                </c:pt>
                <c:pt idx="15">
                  <c:v>16</c:v>
                </c:pt>
                <c:pt idx="16">
                  <c:v>17</c:v>
                </c:pt>
                <c:pt idx="17">
                  <c:v>18</c:v>
                </c:pt>
                <c:pt idx="18">
                  <c:v>19</c:v>
                </c:pt>
                <c:pt idx="19">
                  <c:v>20</c:v>
                </c:pt>
              </c:numCache>
            </c:numRef>
          </c:cat>
          <c:val>
            <c:numRef>
              <c:f>'Sprint 3'!$B$16:$V$16</c:f>
              <c:numCache>
                <c:formatCode>General</c:formatCode>
                <c:ptCount val="21"/>
                <c:pt idx="0">
                  <c:v>86</c:v>
                </c:pt>
                <c:pt idx="1">
                  <c:v>81.7</c:v>
                </c:pt>
                <c:pt idx="2">
                  <c:v>77.400000000000006</c:v>
                </c:pt>
                <c:pt idx="3">
                  <c:v>73.100000000000009</c:v>
                </c:pt>
                <c:pt idx="4">
                  <c:v>68.800000000000011</c:v>
                </c:pt>
                <c:pt idx="5">
                  <c:v>64.500000000000014</c:v>
                </c:pt>
                <c:pt idx="6">
                  <c:v>60.200000000000017</c:v>
                </c:pt>
                <c:pt idx="7">
                  <c:v>55.90000000000002</c:v>
                </c:pt>
                <c:pt idx="8">
                  <c:v>51.600000000000023</c:v>
                </c:pt>
                <c:pt idx="9">
                  <c:v>47.300000000000026</c:v>
                </c:pt>
                <c:pt idx="10">
                  <c:v>43.000000000000028</c:v>
                </c:pt>
                <c:pt idx="11">
                  <c:v>38.700000000000031</c:v>
                </c:pt>
                <c:pt idx="12">
                  <c:v>34.400000000000034</c:v>
                </c:pt>
                <c:pt idx="13">
                  <c:v>30.100000000000033</c:v>
                </c:pt>
                <c:pt idx="14">
                  <c:v>25.800000000000033</c:v>
                </c:pt>
                <c:pt idx="15">
                  <c:v>21.500000000000032</c:v>
                </c:pt>
                <c:pt idx="16">
                  <c:v>17.200000000000031</c:v>
                </c:pt>
                <c:pt idx="17">
                  <c:v>12.900000000000031</c:v>
                </c:pt>
                <c:pt idx="18">
                  <c:v>8.6000000000000298</c:v>
                </c:pt>
                <c:pt idx="19">
                  <c:v>4.30000000000003</c:v>
                </c:pt>
                <c:pt idx="20">
                  <c:v>3.0198066269804258E-14</c:v>
                </c:pt>
              </c:numCache>
            </c:numRef>
          </c:val>
          <c:smooth val="0"/>
          <c:extLst>
            <c:ext xmlns:c16="http://schemas.microsoft.com/office/drawing/2014/chart" uri="{C3380CC4-5D6E-409C-BE32-E72D297353CC}">
              <c16:uniqueId val="{00000001-DA30-48EB-A420-68A9E6DC0C02}"/>
            </c:ext>
          </c:extLst>
        </c:ser>
        <c:dLbls>
          <c:showLegendKey val="0"/>
          <c:showVal val="0"/>
          <c:showCatName val="0"/>
          <c:showSerName val="0"/>
          <c:showPercent val="0"/>
          <c:showBubbleSize val="0"/>
        </c:dLbls>
        <c:smooth val="0"/>
        <c:axId val="1513822339"/>
        <c:axId val="197677313"/>
      </c:lineChart>
      <c:catAx>
        <c:axId val="1513822339"/>
        <c:scaling>
          <c:orientation val="minMax"/>
        </c:scaling>
        <c:delete val="0"/>
        <c:axPos val="b"/>
        <c:title>
          <c:tx>
            <c:rich>
              <a:bodyPr/>
              <a:lstStyle/>
              <a:p>
                <a:pPr lvl="0">
                  <a:defRPr sz="900" b="0" i="0">
                    <a:solidFill>
                      <a:srgbClr val="000000"/>
                    </a:solidFill>
                    <a:latin typeface="+mn-lt"/>
                  </a:defRPr>
                </a:pPr>
                <a:r>
                  <a:rPr lang="es-CL" sz="900" b="0" i="0">
                    <a:solidFill>
                      <a:srgbClr val="000000"/>
                    </a:solidFill>
                    <a:latin typeface="+mn-lt"/>
                  </a:rPr>
                  <a:t>DIA</a:t>
                </a:r>
              </a:p>
            </c:rich>
          </c:tx>
          <c:overlay val="0"/>
        </c:title>
        <c:numFmt formatCode="General" sourceLinked="1"/>
        <c:majorTickMark val="none"/>
        <c:minorTickMark val="none"/>
        <c:tickLblPos val="nextTo"/>
        <c:spPr>
          <a:ln>
            <a:noFill/>
          </a:ln>
        </c:spPr>
        <c:txPr>
          <a:bodyPr/>
          <a:lstStyle/>
          <a:p>
            <a:pPr lvl="0">
              <a:defRPr sz="900" b="0" i="0">
                <a:solidFill>
                  <a:srgbClr val="000000"/>
                </a:solidFill>
                <a:latin typeface="+mn-lt"/>
              </a:defRPr>
            </a:pPr>
            <a:endParaRPr lang="es-CL"/>
          </a:p>
        </c:txPr>
        <c:crossAx val="197677313"/>
        <c:crosses val="autoZero"/>
        <c:auto val="1"/>
        <c:lblAlgn val="ctr"/>
        <c:lblOffset val="100"/>
        <c:noMultiLvlLbl val="1"/>
      </c:catAx>
      <c:valAx>
        <c:axId val="197677313"/>
        <c:scaling>
          <c:orientation val="minMax"/>
        </c:scaling>
        <c:delete val="0"/>
        <c:axPos val="l"/>
        <c:majorGridlines>
          <c:spPr>
            <a:ln>
              <a:solidFill>
                <a:srgbClr val="B7B7B7"/>
              </a:solidFill>
            </a:ln>
          </c:spPr>
        </c:majorGridlines>
        <c:title>
          <c:tx>
            <c:rich>
              <a:bodyPr/>
              <a:lstStyle/>
              <a:p>
                <a:pPr lvl="0">
                  <a:defRPr sz="900" b="0" i="0">
                    <a:solidFill>
                      <a:srgbClr val="000000"/>
                    </a:solidFill>
                    <a:latin typeface="+mn-lt"/>
                  </a:defRPr>
                </a:pPr>
                <a:r>
                  <a:rPr lang="es-CL" sz="900" b="0" i="0">
                    <a:solidFill>
                      <a:srgbClr val="000000"/>
                    </a:solidFill>
                    <a:latin typeface="+mn-lt"/>
                  </a:rPr>
                  <a:t>HORAS</a:t>
                </a:r>
              </a:p>
            </c:rich>
          </c:tx>
          <c:overlay val="0"/>
        </c:title>
        <c:numFmt formatCode="General" sourceLinked="1"/>
        <c:majorTickMark val="none"/>
        <c:minorTickMark val="none"/>
        <c:tickLblPos val="nextTo"/>
        <c:spPr>
          <a:ln>
            <a:noFill/>
          </a:ln>
        </c:spPr>
        <c:txPr>
          <a:bodyPr/>
          <a:lstStyle/>
          <a:p>
            <a:pPr lvl="0">
              <a:defRPr sz="900" b="0" i="0">
                <a:solidFill>
                  <a:srgbClr val="000000"/>
                </a:solidFill>
                <a:latin typeface="+mn-lt"/>
              </a:defRPr>
            </a:pPr>
            <a:endParaRPr lang="es-CL"/>
          </a:p>
        </c:txPr>
        <c:crossAx val="1513822339"/>
        <c:crosses val="autoZero"/>
        <c:crossBetween val="between"/>
      </c:valAx>
    </c:plotArea>
    <c:legend>
      <c:legendPos val="b"/>
      <c:overlay val="0"/>
      <c:txPr>
        <a:bodyPr/>
        <a:lstStyle/>
        <a:p>
          <a:pPr lvl="0">
            <a:defRPr sz="900" b="0" i="0">
              <a:solidFill>
                <a:srgbClr val="1A1A1A"/>
              </a:solidFill>
              <a:latin typeface="+mn-lt"/>
            </a:defRPr>
          </a:pPr>
          <a:endParaRPr lang="es-CL"/>
        </a:p>
      </c:txPr>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oneCellAnchor>
    <xdr:from>
      <xdr:col>23</xdr:col>
      <xdr:colOff>152400</xdr:colOff>
      <xdr:row>1</xdr:row>
      <xdr:rowOff>142875</xdr:rowOff>
    </xdr:from>
    <xdr:ext cx="3524250" cy="3257550"/>
    <xdr:graphicFrame macro="">
      <xdr:nvGraphicFramePr>
        <xdr:cNvPr id="1032075011" name="Chart 4">
          <a:extLst>
            <a:ext uri="{FF2B5EF4-FFF2-40B4-BE49-F238E27FC236}">
              <a16:creationId xmlns:a16="http://schemas.microsoft.com/office/drawing/2014/main" id="{00000000-0008-0000-0000-00000337843D}"/>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2.xml><?xml version="1.0" encoding="utf-8"?>
<xdr:wsDr xmlns:xdr="http://schemas.openxmlformats.org/drawingml/2006/spreadsheetDrawing" xmlns:a="http://schemas.openxmlformats.org/drawingml/2006/main">
  <xdr:oneCellAnchor>
    <xdr:from>
      <xdr:col>43</xdr:col>
      <xdr:colOff>85725</xdr:colOff>
      <xdr:row>2</xdr:row>
      <xdr:rowOff>47625</xdr:rowOff>
    </xdr:from>
    <xdr:ext cx="5314950" cy="4924425"/>
    <xdr:graphicFrame macro="">
      <xdr:nvGraphicFramePr>
        <xdr:cNvPr id="273515980" name="Chart 2" title="Gráfico">
          <a:extLst>
            <a:ext uri="{FF2B5EF4-FFF2-40B4-BE49-F238E27FC236}">
              <a16:creationId xmlns:a16="http://schemas.microsoft.com/office/drawing/2014/main" id="{00000000-0008-0000-0100-0000CC854D1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3.xml><?xml version="1.0" encoding="utf-8"?>
<xdr:wsDr xmlns:xdr="http://schemas.openxmlformats.org/drawingml/2006/spreadsheetDrawing" xmlns:a="http://schemas.openxmlformats.org/drawingml/2006/main">
  <xdr:oneCellAnchor>
    <xdr:from>
      <xdr:col>25</xdr:col>
      <xdr:colOff>152400</xdr:colOff>
      <xdr:row>1</xdr:row>
      <xdr:rowOff>142875</xdr:rowOff>
    </xdr:from>
    <xdr:ext cx="3524250" cy="3257550"/>
    <xdr:graphicFrame macro="">
      <xdr:nvGraphicFramePr>
        <xdr:cNvPr id="1739079603" name="Chart 1" title="Gráfico">
          <a:extLst>
            <a:ext uri="{FF2B5EF4-FFF2-40B4-BE49-F238E27FC236}">
              <a16:creationId xmlns:a16="http://schemas.microsoft.com/office/drawing/2014/main" id="{00000000-0008-0000-0200-0000B33FA867}"/>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drawings/drawing4.xml><?xml version="1.0" encoding="utf-8"?>
<xdr:wsDr xmlns:xdr="http://schemas.openxmlformats.org/drawingml/2006/spreadsheetDrawing" xmlns:a="http://schemas.openxmlformats.org/drawingml/2006/main">
  <xdr:oneCellAnchor>
    <xdr:from>
      <xdr:col>23</xdr:col>
      <xdr:colOff>152400</xdr:colOff>
      <xdr:row>1</xdr:row>
      <xdr:rowOff>142875</xdr:rowOff>
    </xdr:from>
    <xdr:ext cx="3524250" cy="3257550"/>
    <xdr:graphicFrame macro="">
      <xdr:nvGraphicFramePr>
        <xdr:cNvPr id="1582192534" name="Chart 3" title="Gráfico">
          <a:extLst>
            <a:ext uri="{FF2B5EF4-FFF2-40B4-BE49-F238E27FC236}">
              <a16:creationId xmlns:a16="http://schemas.microsoft.com/office/drawing/2014/main" id="{00000000-0008-0000-0300-000096574E5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6AA84F"/>
  </sheetPr>
  <dimension ref="A1:W1000"/>
  <sheetViews>
    <sheetView topLeftCell="A3" workbookViewId="0">
      <selection activeCell="F6" sqref="F6"/>
    </sheetView>
  </sheetViews>
  <sheetFormatPr baseColWidth="10" defaultColWidth="14.44140625" defaultRowHeight="15" customHeight="1" x14ac:dyDescent="0.3"/>
  <cols>
    <col min="1" max="1" width="25.44140625" customWidth="1"/>
    <col min="2" max="2" width="17" customWidth="1"/>
    <col min="3" max="3" width="5.88671875" customWidth="1"/>
    <col min="4" max="4" width="4.88671875" customWidth="1"/>
    <col min="5" max="5" width="5.88671875" customWidth="1"/>
    <col min="6" max="6" width="4.88671875" customWidth="1"/>
    <col min="7" max="7" width="5.88671875" customWidth="1"/>
    <col min="8" max="8" width="4.88671875" customWidth="1"/>
    <col min="9" max="9" width="5.88671875" customWidth="1"/>
    <col min="10" max="10" width="4.88671875" customWidth="1"/>
    <col min="11" max="11" width="5.88671875" customWidth="1"/>
    <col min="12" max="12" width="4.88671875" customWidth="1"/>
    <col min="13" max="13" width="5.88671875" customWidth="1"/>
    <col min="14" max="14" width="4.88671875" customWidth="1"/>
    <col min="15" max="15" width="5.88671875" customWidth="1"/>
    <col min="16" max="16" width="3.88671875" customWidth="1"/>
    <col min="17" max="17" width="4.88671875" customWidth="1"/>
    <col min="18" max="18" width="3.88671875" customWidth="1"/>
    <col min="19" max="19" width="4.88671875" customWidth="1"/>
    <col min="20" max="20" width="3.88671875" customWidth="1"/>
    <col min="21" max="21" width="4.88671875" customWidth="1"/>
    <col min="22" max="22" width="3.33203125" customWidth="1"/>
    <col min="23" max="23" width="10.6640625" customWidth="1"/>
  </cols>
  <sheetData>
    <row r="1" spans="1:23" ht="21" x14ac:dyDescent="0.4">
      <c r="A1" s="1" t="s">
        <v>2</v>
      </c>
    </row>
    <row r="3" spans="1:23" ht="14.4" x14ac:dyDescent="0.3">
      <c r="A3" s="46" t="s">
        <v>4</v>
      </c>
      <c r="B3" s="46" t="s">
        <v>6</v>
      </c>
      <c r="C3" s="48" t="s">
        <v>7</v>
      </c>
      <c r="D3" s="49"/>
      <c r="E3" s="49"/>
      <c r="F3" s="49"/>
      <c r="G3" s="49"/>
      <c r="H3" s="49"/>
      <c r="I3" s="49"/>
      <c r="J3" s="49"/>
      <c r="K3" s="49"/>
      <c r="L3" s="49"/>
      <c r="M3" s="49"/>
      <c r="N3" s="49"/>
      <c r="O3" s="49"/>
      <c r="P3" s="49"/>
      <c r="Q3" s="49"/>
      <c r="R3" s="49"/>
      <c r="S3" s="49"/>
      <c r="T3" s="49"/>
      <c r="U3" s="49"/>
      <c r="V3" s="50"/>
      <c r="W3" s="46" t="s">
        <v>8</v>
      </c>
    </row>
    <row r="4" spans="1:23" ht="14.4" x14ac:dyDescent="0.3">
      <c r="A4" s="47"/>
      <c r="B4" s="47"/>
      <c r="C4" s="4">
        <v>1</v>
      </c>
      <c r="D4" s="4">
        <v>2</v>
      </c>
      <c r="E4" s="4">
        <v>3</v>
      </c>
      <c r="F4" s="4">
        <v>4</v>
      </c>
      <c r="G4" s="4">
        <v>5</v>
      </c>
      <c r="H4" s="4">
        <v>6</v>
      </c>
      <c r="I4" s="4">
        <v>7</v>
      </c>
      <c r="J4" s="4">
        <v>8</v>
      </c>
      <c r="K4" s="4">
        <v>9</v>
      </c>
      <c r="L4" s="4">
        <v>10</v>
      </c>
      <c r="M4" s="4">
        <v>11</v>
      </c>
      <c r="N4" s="4">
        <v>12</v>
      </c>
      <c r="O4" s="4">
        <v>13</v>
      </c>
      <c r="P4" s="4">
        <v>14</v>
      </c>
      <c r="Q4" s="4">
        <v>15</v>
      </c>
      <c r="R4" s="4">
        <v>16</v>
      </c>
      <c r="S4" s="4">
        <v>17</v>
      </c>
      <c r="T4" s="4">
        <v>18</v>
      </c>
      <c r="U4" s="4">
        <v>19</v>
      </c>
      <c r="V4" s="4">
        <v>20</v>
      </c>
      <c r="W4" s="51"/>
    </row>
    <row r="5" spans="1:23" ht="129.6" x14ac:dyDescent="0.3">
      <c r="A5" s="10" t="s">
        <v>10</v>
      </c>
      <c r="B5" s="12">
        <v>22</v>
      </c>
      <c r="C5" s="13"/>
      <c r="D5" s="14"/>
      <c r="E5" s="14"/>
      <c r="F5" s="14"/>
      <c r="G5" s="14">
        <v>2</v>
      </c>
      <c r="H5" s="14">
        <v>4</v>
      </c>
      <c r="I5" s="14">
        <v>2</v>
      </c>
      <c r="J5" s="14">
        <v>2</v>
      </c>
      <c r="K5" s="14"/>
      <c r="L5" s="14">
        <v>2</v>
      </c>
      <c r="M5" s="14"/>
      <c r="N5" s="14">
        <v>3</v>
      </c>
      <c r="O5" s="14">
        <v>1</v>
      </c>
      <c r="P5" s="14"/>
      <c r="Q5" s="14"/>
      <c r="R5" s="14">
        <v>1</v>
      </c>
      <c r="S5" s="14">
        <v>2</v>
      </c>
      <c r="T5" s="14">
        <v>3</v>
      </c>
      <c r="U5" s="14"/>
      <c r="V5" s="15"/>
      <c r="W5" s="22">
        <f t="shared" ref="W5:W6" si="0">SUM(C5:V5)</f>
        <v>22</v>
      </c>
    </row>
    <row r="6" spans="1:23" ht="115.2" x14ac:dyDescent="0.3">
      <c r="A6" s="24" t="s">
        <v>14</v>
      </c>
      <c r="B6" s="25">
        <v>7</v>
      </c>
      <c r="C6" s="26"/>
      <c r="D6" s="28"/>
      <c r="E6" s="28"/>
      <c r="F6" s="28">
        <v>2</v>
      </c>
      <c r="G6" s="28">
        <v>2</v>
      </c>
      <c r="H6" s="28"/>
      <c r="I6" s="28">
        <v>3</v>
      </c>
      <c r="J6" s="28"/>
      <c r="K6" s="28"/>
      <c r="L6" s="28"/>
      <c r="M6" s="28"/>
      <c r="N6" s="28"/>
      <c r="O6" s="28"/>
      <c r="P6" s="28"/>
      <c r="Q6" s="28"/>
      <c r="R6" s="28"/>
      <c r="S6" s="28"/>
      <c r="T6" s="28"/>
      <c r="U6" s="28"/>
      <c r="V6" s="34"/>
      <c r="W6" s="22">
        <f t="shared" si="0"/>
        <v>7</v>
      </c>
    </row>
    <row r="8" spans="1:23" ht="28.8" x14ac:dyDescent="0.3">
      <c r="A8" s="37" t="s">
        <v>20</v>
      </c>
      <c r="B8" s="2">
        <f>SUM(B5:B7)</f>
        <v>29</v>
      </c>
      <c r="C8" s="2">
        <f t="shared" ref="C8:V8" si="1">B8-SUM(C5:C6)</f>
        <v>29</v>
      </c>
      <c r="D8" s="2">
        <f t="shared" si="1"/>
        <v>29</v>
      </c>
      <c r="E8" s="2">
        <f>D8-SUM(E5:E6)</f>
        <v>29</v>
      </c>
      <c r="F8" s="2">
        <f t="shared" si="1"/>
        <v>27</v>
      </c>
      <c r="G8" s="2">
        <f t="shared" si="1"/>
        <v>23</v>
      </c>
      <c r="H8" s="2">
        <f t="shared" si="1"/>
        <v>19</v>
      </c>
      <c r="I8" s="2">
        <f t="shared" si="1"/>
        <v>14</v>
      </c>
      <c r="J8" s="2">
        <f t="shared" si="1"/>
        <v>12</v>
      </c>
      <c r="K8" s="2">
        <f t="shared" si="1"/>
        <v>12</v>
      </c>
      <c r="L8" s="2">
        <f t="shared" si="1"/>
        <v>10</v>
      </c>
      <c r="M8" s="2">
        <f t="shared" si="1"/>
        <v>10</v>
      </c>
      <c r="N8" s="2">
        <f t="shared" si="1"/>
        <v>7</v>
      </c>
      <c r="O8" s="2">
        <f t="shared" si="1"/>
        <v>6</v>
      </c>
      <c r="P8" s="2">
        <f t="shared" si="1"/>
        <v>6</v>
      </c>
      <c r="Q8" s="2">
        <f t="shared" si="1"/>
        <v>6</v>
      </c>
      <c r="R8" s="2">
        <f t="shared" si="1"/>
        <v>5</v>
      </c>
      <c r="S8" s="2">
        <f t="shared" si="1"/>
        <v>3</v>
      </c>
      <c r="T8" s="2">
        <f t="shared" si="1"/>
        <v>0</v>
      </c>
      <c r="U8" s="2">
        <f t="shared" si="1"/>
        <v>0</v>
      </c>
      <c r="V8" s="2">
        <f t="shared" si="1"/>
        <v>0</v>
      </c>
    </row>
    <row r="10" spans="1:23" ht="28.8" x14ac:dyDescent="0.3">
      <c r="A10" s="37" t="s">
        <v>27</v>
      </c>
      <c r="B10" s="2">
        <f>SUM(B5:B6)</f>
        <v>29</v>
      </c>
      <c r="C10" s="2">
        <f t="shared" ref="C10:V10" si="2">B10-(SUM($B$5:$B$6)/20)</f>
        <v>27.55</v>
      </c>
      <c r="D10" s="2">
        <f t="shared" si="2"/>
        <v>26.1</v>
      </c>
      <c r="E10" s="2">
        <f t="shared" si="2"/>
        <v>24.650000000000002</v>
      </c>
      <c r="F10" s="2">
        <f t="shared" si="2"/>
        <v>23.200000000000003</v>
      </c>
      <c r="G10" s="2">
        <f t="shared" si="2"/>
        <v>21.750000000000004</v>
      </c>
      <c r="H10" s="2">
        <f t="shared" si="2"/>
        <v>20.300000000000004</v>
      </c>
      <c r="I10" s="2">
        <f t="shared" si="2"/>
        <v>18.850000000000005</v>
      </c>
      <c r="J10" s="2">
        <f t="shared" si="2"/>
        <v>17.400000000000006</v>
      </c>
      <c r="K10" s="2">
        <f t="shared" si="2"/>
        <v>15.950000000000006</v>
      </c>
      <c r="L10" s="2">
        <f t="shared" si="2"/>
        <v>14.500000000000007</v>
      </c>
      <c r="M10" s="2">
        <f t="shared" si="2"/>
        <v>13.050000000000008</v>
      </c>
      <c r="N10" s="2">
        <f t="shared" si="2"/>
        <v>11.600000000000009</v>
      </c>
      <c r="O10" s="2">
        <f t="shared" si="2"/>
        <v>10.150000000000009</v>
      </c>
      <c r="P10" s="2">
        <f t="shared" si="2"/>
        <v>8.7000000000000099</v>
      </c>
      <c r="Q10" s="2">
        <f t="shared" si="2"/>
        <v>7.2500000000000098</v>
      </c>
      <c r="R10" s="2">
        <f t="shared" si="2"/>
        <v>5.8000000000000096</v>
      </c>
      <c r="S10" s="2">
        <f t="shared" si="2"/>
        <v>4.3500000000000094</v>
      </c>
      <c r="T10" s="2">
        <f t="shared" si="2"/>
        <v>2.9000000000000092</v>
      </c>
      <c r="U10" s="2">
        <f t="shared" si="2"/>
        <v>1.4500000000000093</v>
      </c>
      <c r="V10" s="2">
        <f t="shared" si="2"/>
        <v>9.3258734068513149E-15</v>
      </c>
    </row>
    <row r="12" spans="1:23" ht="14.4" x14ac:dyDescent="0.3">
      <c r="A12" s="42"/>
      <c r="B12" s="43"/>
      <c r="C12" s="42"/>
      <c r="D12" s="42"/>
      <c r="E12" s="42"/>
      <c r="F12" s="42"/>
      <c r="G12" s="42"/>
      <c r="H12" s="42"/>
      <c r="I12" s="42"/>
    </row>
    <row r="13" spans="1:23" ht="14.4" x14ac:dyDescent="0.3">
      <c r="A13" s="42"/>
      <c r="B13" s="43"/>
      <c r="C13" s="42"/>
      <c r="D13" s="42"/>
      <c r="E13" s="42"/>
      <c r="F13" s="42"/>
      <c r="G13" s="43"/>
      <c r="H13" s="42"/>
      <c r="I13" s="42"/>
    </row>
    <row r="14" spans="1:23" ht="14.4" x14ac:dyDescent="0.3">
      <c r="A14" s="42"/>
      <c r="B14" s="43"/>
      <c r="C14" s="42"/>
      <c r="D14" s="42"/>
      <c r="E14" s="42"/>
      <c r="F14" s="42"/>
      <c r="G14" s="43"/>
      <c r="H14" s="42"/>
      <c r="I14" s="42"/>
    </row>
    <row r="15" spans="1:23" ht="14.4" x14ac:dyDescent="0.3">
      <c r="A15" s="42"/>
      <c r="B15" s="43"/>
      <c r="C15" s="42"/>
      <c r="D15" s="42"/>
      <c r="E15" s="42"/>
      <c r="F15" s="42"/>
      <c r="G15" s="43"/>
      <c r="H15" s="42"/>
      <c r="I15" s="42"/>
    </row>
    <row r="16" spans="1:23" ht="14.4" x14ac:dyDescent="0.3">
      <c r="A16" s="42"/>
      <c r="B16" s="43"/>
      <c r="C16" s="42"/>
      <c r="D16" s="42"/>
      <c r="E16" s="42"/>
      <c r="F16" s="42"/>
      <c r="G16" s="43"/>
      <c r="H16" s="42"/>
      <c r="I16" s="42"/>
    </row>
    <row r="17" spans="1:9" ht="15.75" customHeight="1" x14ac:dyDescent="0.3">
      <c r="A17" s="42"/>
      <c r="B17" s="43"/>
      <c r="C17" s="42"/>
      <c r="D17" s="42"/>
      <c r="E17" s="42"/>
      <c r="F17" s="42"/>
      <c r="G17" s="43"/>
      <c r="H17" s="42"/>
      <c r="I17" s="42"/>
    </row>
    <row r="18" spans="1:9" ht="15.75" customHeight="1" x14ac:dyDescent="0.3">
      <c r="A18" s="42"/>
      <c r="B18" s="43"/>
      <c r="C18" s="42"/>
      <c r="D18" s="42"/>
      <c r="E18" s="42"/>
      <c r="F18" s="42"/>
      <c r="G18" s="43"/>
      <c r="H18" s="42"/>
      <c r="I18" s="42"/>
    </row>
    <row r="19" spans="1:9" ht="15.75" customHeight="1" x14ac:dyDescent="0.3">
      <c r="A19" s="42"/>
      <c r="B19" s="43"/>
      <c r="C19" s="42"/>
      <c r="D19" s="42"/>
      <c r="E19" s="42"/>
      <c r="F19" s="42"/>
      <c r="G19" s="42"/>
      <c r="H19" s="42"/>
      <c r="I19" s="42"/>
    </row>
    <row r="20" spans="1:9" ht="15.75" customHeight="1" x14ac:dyDescent="0.3">
      <c r="A20" s="42"/>
      <c r="B20" s="43"/>
      <c r="C20" s="42"/>
      <c r="D20" s="42"/>
      <c r="E20" s="42"/>
      <c r="F20" s="42"/>
      <c r="G20" s="42"/>
      <c r="H20" s="42"/>
      <c r="I20" s="42"/>
    </row>
    <row r="21" spans="1:9" ht="15.75" customHeight="1" x14ac:dyDescent="0.3">
      <c r="A21" s="42"/>
      <c r="B21" s="43"/>
      <c r="C21" s="42"/>
      <c r="D21" s="42"/>
      <c r="E21" s="42"/>
      <c r="F21" s="42"/>
      <c r="G21" s="42"/>
      <c r="H21" s="42"/>
      <c r="I21" s="42"/>
    </row>
    <row r="22" spans="1:9" ht="15.75" customHeight="1" x14ac:dyDescent="0.3"/>
    <row r="23" spans="1:9" ht="15.75" customHeight="1" x14ac:dyDescent="0.3"/>
    <row r="24" spans="1:9" ht="15.75" customHeight="1" x14ac:dyDescent="0.3"/>
    <row r="25" spans="1:9" ht="15.75" customHeight="1" x14ac:dyDescent="0.3"/>
    <row r="26" spans="1:9" ht="15.75" customHeight="1" x14ac:dyDescent="0.3"/>
    <row r="27" spans="1:9" ht="15.75" customHeight="1" x14ac:dyDescent="0.3"/>
    <row r="28" spans="1:9" ht="15.75" customHeight="1" x14ac:dyDescent="0.3"/>
    <row r="29" spans="1:9" ht="15.75" customHeight="1" x14ac:dyDescent="0.3"/>
    <row r="30" spans="1:9" ht="15.75" customHeight="1" x14ac:dyDescent="0.3"/>
    <row r="31" spans="1:9" ht="15.75" customHeight="1" x14ac:dyDescent="0.3"/>
    <row r="32" spans="1:9"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4">
    <mergeCell ref="A3:A4"/>
    <mergeCell ref="B3:B4"/>
    <mergeCell ref="C3:V3"/>
    <mergeCell ref="W3:W4"/>
  </mergeCells>
  <pageMargins left="0.7" right="0.7" top="0.75" bottom="0.75" header="0" footer="0"/>
  <pageSetup paperSize="9" orientation="portrait"/>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6AA84F"/>
  </sheetPr>
  <dimension ref="A1:AQ1003"/>
  <sheetViews>
    <sheetView topLeftCell="AL4" workbookViewId="0"/>
  </sheetViews>
  <sheetFormatPr baseColWidth="10" defaultColWidth="14.44140625" defaultRowHeight="15" customHeight="1" x14ac:dyDescent="0.3"/>
  <cols>
    <col min="1" max="1" width="33.88671875" customWidth="1"/>
    <col min="2" max="2" width="17" customWidth="1"/>
    <col min="3" max="3" width="12.33203125" customWidth="1"/>
    <col min="4" max="4" width="5.6640625" customWidth="1"/>
    <col min="5" max="5" width="5.44140625" customWidth="1"/>
    <col min="6" max="6" width="5.5546875" customWidth="1"/>
    <col min="7" max="7" width="4.33203125" customWidth="1"/>
    <col min="8" max="9" width="4.88671875" customWidth="1"/>
    <col min="10" max="10" width="6.109375" customWidth="1"/>
    <col min="11" max="11" width="5.5546875" customWidth="1"/>
    <col min="12" max="12" width="4.88671875" customWidth="1"/>
    <col min="13" max="13" width="4.5546875" customWidth="1"/>
    <col min="14" max="16" width="4.88671875" customWidth="1"/>
    <col min="17" max="17" width="3.33203125" customWidth="1"/>
    <col min="18" max="24" width="4.88671875" customWidth="1"/>
    <col min="25" max="26" width="3.44140625" customWidth="1"/>
    <col min="27" max="31" width="4.88671875" customWidth="1"/>
    <col min="32" max="42" width="3.88671875" customWidth="1"/>
    <col min="43" max="43" width="10.6640625" customWidth="1"/>
  </cols>
  <sheetData>
    <row r="1" spans="1:43" ht="21" x14ac:dyDescent="0.4">
      <c r="A1" s="1" t="s">
        <v>3</v>
      </c>
      <c r="C1" s="2"/>
      <c r="D1" s="2"/>
      <c r="E1" s="2"/>
      <c r="F1" s="2"/>
      <c r="G1" s="2"/>
      <c r="H1" s="2"/>
      <c r="I1" s="2"/>
      <c r="J1" s="2"/>
      <c r="K1" s="2"/>
      <c r="L1" s="2"/>
      <c r="M1" s="2"/>
      <c r="N1" s="2"/>
      <c r="O1" s="2"/>
      <c r="P1" s="2"/>
      <c r="Q1" s="2"/>
      <c r="R1" s="2"/>
      <c r="S1" s="2"/>
      <c r="T1" s="2"/>
      <c r="U1" s="2"/>
      <c r="V1" s="2"/>
      <c r="W1" s="2"/>
      <c r="X1" s="2"/>
      <c r="Y1" s="2"/>
      <c r="Z1" s="2"/>
      <c r="AA1" s="2"/>
      <c r="AB1" s="2"/>
      <c r="AC1" s="2"/>
      <c r="AD1" s="2"/>
      <c r="AE1" s="2"/>
      <c r="AF1" s="2"/>
      <c r="AG1" s="2"/>
      <c r="AH1" s="2"/>
      <c r="AI1" s="2"/>
      <c r="AJ1" s="2"/>
      <c r="AK1" s="2"/>
      <c r="AL1" s="2"/>
      <c r="AM1" s="2"/>
      <c r="AN1" s="2"/>
      <c r="AO1" s="2"/>
      <c r="AP1" s="2"/>
    </row>
    <row r="2" spans="1:43" ht="14.4" x14ac:dyDescent="0.3">
      <c r="C2" s="2"/>
      <c r="D2" s="2"/>
      <c r="E2" s="2"/>
      <c r="F2" s="2"/>
      <c r="G2" s="2"/>
      <c r="H2" s="2"/>
      <c r="I2" s="2"/>
      <c r="J2" s="2"/>
      <c r="K2" s="2"/>
      <c r="L2" s="2"/>
      <c r="M2" s="2"/>
      <c r="N2" s="2"/>
      <c r="O2" s="2"/>
      <c r="P2" s="2"/>
      <c r="Q2" s="2"/>
      <c r="R2" s="2"/>
      <c r="S2" s="2"/>
      <c r="T2" s="2"/>
      <c r="U2" s="2"/>
      <c r="V2" s="2"/>
      <c r="W2" s="2"/>
      <c r="X2" s="2"/>
      <c r="Y2" s="2"/>
      <c r="Z2" s="2"/>
      <c r="AA2" s="2"/>
      <c r="AB2" s="2"/>
      <c r="AC2" s="2"/>
      <c r="AD2" s="2"/>
      <c r="AE2" s="2"/>
      <c r="AF2" s="2"/>
      <c r="AG2" s="2"/>
      <c r="AH2" s="2"/>
      <c r="AI2" s="2"/>
      <c r="AJ2" s="2"/>
      <c r="AK2" s="2"/>
      <c r="AL2" s="2"/>
      <c r="AM2" s="2"/>
      <c r="AN2" s="2"/>
      <c r="AO2" s="2"/>
      <c r="AP2" s="2"/>
    </row>
    <row r="3" spans="1:43" ht="14.4" x14ac:dyDescent="0.3">
      <c r="A3" s="46" t="s">
        <v>4</v>
      </c>
      <c r="B3" s="46" t="s">
        <v>5</v>
      </c>
      <c r="C3" s="52" t="s">
        <v>7</v>
      </c>
      <c r="D3" s="49"/>
      <c r="E3" s="49"/>
      <c r="F3" s="49"/>
      <c r="G3" s="49"/>
      <c r="H3" s="49"/>
      <c r="I3" s="49"/>
      <c r="J3" s="49"/>
      <c r="K3" s="49"/>
      <c r="L3" s="49"/>
      <c r="M3" s="49"/>
      <c r="N3" s="49"/>
      <c r="O3" s="49"/>
      <c r="P3" s="49"/>
      <c r="Q3" s="49"/>
      <c r="R3" s="49"/>
      <c r="S3" s="49"/>
      <c r="T3" s="49"/>
      <c r="U3" s="49"/>
      <c r="V3" s="49"/>
      <c r="W3" s="49"/>
      <c r="X3" s="49"/>
      <c r="Y3" s="49"/>
      <c r="Z3" s="49"/>
      <c r="AA3" s="49"/>
      <c r="AB3" s="49"/>
      <c r="AC3" s="49"/>
      <c r="AD3" s="49"/>
      <c r="AE3" s="49"/>
      <c r="AF3" s="49"/>
      <c r="AG3" s="49"/>
      <c r="AH3" s="49"/>
      <c r="AI3" s="49"/>
      <c r="AJ3" s="49"/>
      <c r="AK3" s="49"/>
      <c r="AL3" s="49"/>
      <c r="AM3" s="49"/>
      <c r="AN3" s="49"/>
      <c r="AO3" s="49"/>
      <c r="AP3" s="50"/>
      <c r="AQ3" s="53" t="s">
        <v>8</v>
      </c>
    </row>
    <row r="4" spans="1:43" ht="14.4" x14ac:dyDescent="0.3">
      <c r="A4" s="47"/>
      <c r="B4" s="47"/>
      <c r="C4" s="3">
        <v>1</v>
      </c>
      <c r="D4" s="3">
        <v>2</v>
      </c>
      <c r="E4" s="3">
        <v>3</v>
      </c>
      <c r="F4" s="3">
        <v>4</v>
      </c>
      <c r="G4" s="3">
        <v>5</v>
      </c>
      <c r="H4" s="3">
        <v>6</v>
      </c>
      <c r="I4" s="3">
        <v>7</v>
      </c>
      <c r="J4" s="3">
        <v>8</v>
      </c>
      <c r="K4" s="3">
        <v>9</v>
      </c>
      <c r="L4" s="3">
        <v>10</v>
      </c>
      <c r="M4" s="3">
        <v>11</v>
      </c>
      <c r="N4" s="3">
        <v>12</v>
      </c>
      <c r="O4" s="3">
        <v>13</v>
      </c>
      <c r="P4" s="3">
        <v>14</v>
      </c>
      <c r="Q4" s="3">
        <v>15</v>
      </c>
      <c r="R4" s="3">
        <v>16</v>
      </c>
      <c r="S4" s="3">
        <v>17</v>
      </c>
      <c r="T4" s="3">
        <v>18</v>
      </c>
      <c r="U4" s="3">
        <v>19</v>
      </c>
      <c r="V4" s="3">
        <v>20</v>
      </c>
      <c r="W4" s="3">
        <v>21</v>
      </c>
      <c r="X4" s="3">
        <v>22</v>
      </c>
      <c r="Y4" s="3">
        <v>23</v>
      </c>
      <c r="Z4" s="3">
        <v>24</v>
      </c>
      <c r="AA4" s="3">
        <v>25</v>
      </c>
      <c r="AB4" s="3">
        <v>26</v>
      </c>
      <c r="AC4" s="3">
        <v>27</v>
      </c>
      <c r="AD4" s="3">
        <v>28</v>
      </c>
      <c r="AE4" s="3">
        <v>29</v>
      </c>
      <c r="AF4" s="3">
        <v>30</v>
      </c>
      <c r="AG4" s="3">
        <v>31</v>
      </c>
      <c r="AH4" s="3">
        <v>32</v>
      </c>
      <c r="AI4" s="3">
        <v>33</v>
      </c>
      <c r="AJ4" s="3">
        <v>34</v>
      </c>
      <c r="AK4" s="3">
        <v>35</v>
      </c>
      <c r="AL4" s="3">
        <v>36</v>
      </c>
      <c r="AM4" s="3">
        <v>37</v>
      </c>
      <c r="AN4" s="3">
        <v>38</v>
      </c>
      <c r="AO4" s="3">
        <v>39</v>
      </c>
      <c r="AP4" s="3">
        <v>40</v>
      </c>
      <c r="AQ4" s="51"/>
    </row>
    <row r="5" spans="1:43" ht="102" customHeight="1" x14ac:dyDescent="0.3">
      <c r="A5" s="27" t="s">
        <v>15</v>
      </c>
      <c r="B5" s="31">
        <v>17</v>
      </c>
      <c r="C5" s="33"/>
      <c r="D5" s="33">
        <v>1</v>
      </c>
      <c r="E5" s="33"/>
      <c r="F5" s="33">
        <v>2</v>
      </c>
      <c r="G5" s="33">
        <v>3</v>
      </c>
      <c r="H5" s="33">
        <v>1</v>
      </c>
      <c r="I5" s="33"/>
      <c r="J5" s="33"/>
      <c r="K5" s="33"/>
      <c r="L5" s="33">
        <v>2</v>
      </c>
      <c r="M5" s="33">
        <v>2</v>
      </c>
      <c r="N5" s="33">
        <v>2</v>
      </c>
      <c r="O5" s="33">
        <v>1</v>
      </c>
      <c r="P5" s="33">
        <v>2</v>
      </c>
      <c r="Q5" s="33">
        <v>1</v>
      </c>
      <c r="R5" s="33"/>
      <c r="S5" s="33"/>
      <c r="T5" s="33"/>
      <c r="U5" s="33"/>
      <c r="V5" s="33"/>
      <c r="W5" s="33"/>
      <c r="X5" s="33"/>
      <c r="Y5" s="33"/>
      <c r="Z5" s="33"/>
      <c r="AA5" s="33"/>
      <c r="AB5" s="33"/>
      <c r="AC5" s="33"/>
      <c r="AD5" s="33"/>
      <c r="AE5" s="33"/>
      <c r="AF5" s="33"/>
      <c r="AG5" s="33"/>
      <c r="AH5" s="33"/>
      <c r="AI5" s="33"/>
      <c r="AJ5" s="33"/>
      <c r="AK5" s="33"/>
      <c r="AL5" s="33"/>
      <c r="AM5" s="33"/>
      <c r="AN5" s="33"/>
      <c r="AO5" s="33"/>
      <c r="AP5" s="33"/>
      <c r="AQ5" s="31">
        <f t="shared" ref="AQ5:AQ10" si="0">SUM(C5:AP5)</f>
        <v>17</v>
      </c>
    </row>
    <row r="6" spans="1:43" ht="95.25" customHeight="1" x14ac:dyDescent="0.3">
      <c r="A6" s="27" t="s">
        <v>23</v>
      </c>
      <c r="B6" s="40">
        <v>21</v>
      </c>
      <c r="C6" s="28"/>
      <c r="D6" s="28"/>
      <c r="E6" s="28">
        <v>1</v>
      </c>
      <c r="F6" s="28">
        <v>1</v>
      </c>
      <c r="G6" s="28"/>
      <c r="H6" s="28"/>
      <c r="I6" s="28"/>
      <c r="J6" s="28"/>
      <c r="K6" s="28"/>
      <c r="L6" s="28"/>
      <c r="M6" s="28"/>
      <c r="N6" s="28"/>
      <c r="O6" s="28"/>
      <c r="P6" s="28"/>
      <c r="Q6" s="28"/>
      <c r="R6" s="28">
        <v>1</v>
      </c>
      <c r="S6" s="28">
        <v>2</v>
      </c>
      <c r="T6" s="28">
        <v>2</v>
      </c>
      <c r="U6" s="28">
        <v>12</v>
      </c>
      <c r="V6" s="28"/>
      <c r="W6" s="28"/>
      <c r="X6" s="28"/>
      <c r="Y6" s="28"/>
      <c r="Z6" s="28"/>
      <c r="AA6" s="28"/>
      <c r="AB6" s="28">
        <v>2</v>
      </c>
      <c r="AC6" s="28"/>
      <c r="AD6" s="28"/>
      <c r="AE6" s="28"/>
      <c r="AF6" s="28"/>
      <c r="AG6" s="28"/>
      <c r="AH6" s="28"/>
      <c r="AI6" s="28"/>
      <c r="AJ6" s="28"/>
      <c r="AK6" s="28"/>
      <c r="AL6" s="28"/>
      <c r="AM6" s="28"/>
      <c r="AN6" s="28"/>
      <c r="AO6" s="28"/>
      <c r="AP6" s="28"/>
      <c r="AQ6" s="31">
        <f t="shared" si="0"/>
        <v>21</v>
      </c>
    </row>
    <row r="7" spans="1:43" ht="56.25" customHeight="1" x14ac:dyDescent="0.3">
      <c r="A7" s="27" t="s">
        <v>26</v>
      </c>
      <c r="B7" s="31">
        <v>24</v>
      </c>
      <c r="C7" s="28"/>
      <c r="D7" s="28"/>
      <c r="E7" s="28"/>
      <c r="F7" s="28"/>
      <c r="G7" s="28"/>
      <c r="H7" s="28"/>
      <c r="I7" s="28"/>
      <c r="J7" s="28"/>
      <c r="K7" s="28"/>
      <c r="L7" s="28"/>
      <c r="M7" s="28"/>
      <c r="N7" s="28"/>
      <c r="O7" s="28"/>
      <c r="P7" s="28"/>
      <c r="Q7" s="28"/>
      <c r="R7" s="28"/>
      <c r="S7" s="28"/>
      <c r="T7" s="28"/>
      <c r="U7" s="28">
        <v>4</v>
      </c>
      <c r="V7" s="28">
        <v>16</v>
      </c>
      <c r="W7" s="28"/>
      <c r="X7" s="28">
        <v>4</v>
      </c>
      <c r="Y7" s="28"/>
      <c r="Z7" s="28"/>
      <c r="AA7" s="28"/>
      <c r="AB7" s="28"/>
      <c r="AC7" s="28"/>
      <c r="AD7" s="28"/>
      <c r="AE7" s="28"/>
      <c r="AF7" s="28"/>
      <c r="AG7" s="28"/>
      <c r="AH7" s="28"/>
      <c r="AI7" s="28"/>
      <c r="AJ7" s="28"/>
      <c r="AK7" s="28"/>
      <c r="AL7" s="28"/>
      <c r="AM7" s="28"/>
      <c r="AN7" s="28"/>
      <c r="AO7" s="28"/>
      <c r="AP7" s="28"/>
      <c r="AQ7" s="31">
        <f t="shared" si="0"/>
        <v>24</v>
      </c>
    </row>
    <row r="8" spans="1:43" ht="45.75" customHeight="1" x14ac:dyDescent="0.3">
      <c r="A8" s="27" t="s">
        <v>28</v>
      </c>
      <c r="B8" s="31">
        <v>16</v>
      </c>
      <c r="C8" s="28"/>
      <c r="D8" s="28"/>
      <c r="E8" s="28"/>
      <c r="F8" s="28"/>
      <c r="G8" s="28"/>
      <c r="H8" s="28"/>
      <c r="I8" s="28"/>
      <c r="J8" s="28"/>
      <c r="K8" s="28"/>
      <c r="L8" s="28"/>
      <c r="M8" s="28"/>
      <c r="N8" s="28"/>
      <c r="O8" s="28"/>
      <c r="P8" s="28"/>
      <c r="Q8" s="28"/>
      <c r="R8" s="28"/>
      <c r="S8" s="28"/>
      <c r="T8" s="28"/>
      <c r="U8" s="28"/>
      <c r="V8" s="28"/>
      <c r="W8" s="28"/>
      <c r="X8" s="28"/>
      <c r="Y8" s="28"/>
      <c r="Z8" s="28"/>
      <c r="AA8" s="28"/>
      <c r="AB8" s="28">
        <v>2</v>
      </c>
      <c r="AC8" s="28">
        <v>1</v>
      </c>
      <c r="AD8" s="28"/>
      <c r="AE8" s="28"/>
      <c r="AF8" s="28"/>
      <c r="AG8" s="28">
        <v>2</v>
      </c>
      <c r="AH8" s="28">
        <v>1</v>
      </c>
      <c r="AI8" s="28">
        <v>11</v>
      </c>
      <c r="AJ8" s="28"/>
      <c r="AK8" s="28"/>
      <c r="AL8" s="28"/>
      <c r="AM8" s="28"/>
      <c r="AN8" s="28"/>
      <c r="AO8" s="28"/>
      <c r="AP8" s="28"/>
      <c r="AQ8" s="31">
        <f t="shared" si="0"/>
        <v>17</v>
      </c>
    </row>
    <row r="9" spans="1:43" ht="59.25" customHeight="1" x14ac:dyDescent="0.3">
      <c r="A9" s="27" t="s">
        <v>29</v>
      </c>
      <c r="B9" s="31">
        <v>12</v>
      </c>
      <c r="C9" s="28"/>
      <c r="D9" s="28"/>
      <c r="E9" s="28"/>
      <c r="F9" s="28"/>
      <c r="G9" s="28"/>
      <c r="H9" s="28"/>
      <c r="I9" s="28"/>
      <c r="J9" s="28"/>
      <c r="K9" s="28"/>
      <c r="L9" s="28"/>
      <c r="M9" s="28"/>
      <c r="N9" s="28"/>
      <c r="O9" s="28"/>
      <c r="P9" s="28"/>
      <c r="Q9" s="28"/>
      <c r="R9" s="28"/>
      <c r="S9" s="28"/>
      <c r="T9" s="28"/>
      <c r="U9" s="28"/>
      <c r="V9" s="28"/>
      <c r="W9" s="28"/>
      <c r="X9" s="28"/>
      <c r="Y9" s="28"/>
      <c r="Z9" s="28"/>
      <c r="AA9" s="28"/>
      <c r="AB9" s="28"/>
      <c r="AC9" s="28"/>
      <c r="AD9" s="28"/>
      <c r="AE9" s="28"/>
      <c r="AF9" s="28"/>
      <c r="AG9" s="28"/>
      <c r="AH9" s="28"/>
      <c r="AI9" s="28">
        <v>4</v>
      </c>
      <c r="AJ9" s="28"/>
      <c r="AK9" s="28">
        <v>4</v>
      </c>
      <c r="AL9" s="28"/>
      <c r="AM9" s="28"/>
      <c r="AN9" s="28"/>
      <c r="AO9" s="28">
        <v>2</v>
      </c>
      <c r="AP9" s="28">
        <v>2</v>
      </c>
      <c r="AQ9" s="31">
        <f t="shared" si="0"/>
        <v>12</v>
      </c>
    </row>
    <row r="10" spans="1:43" ht="62.25" customHeight="1" x14ac:dyDescent="0.3">
      <c r="A10" s="27" t="s">
        <v>30</v>
      </c>
      <c r="B10" s="31">
        <v>8</v>
      </c>
      <c r="C10" s="28"/>
      <c r="D10" s="28"/>
      <c r="E10" s="28"/>
      <c r="F10" s="28"/>
      <c r="G10" s="28"/>
      <c r="H10" s="28"/>
      <c r="I10" s="28"/>
      <c r="J10" s="28"/>
      <c r="K10" s="28"/>
      <c r="L10" s="28"/>
      <c r="M10" s="28"/>
      <c r="N10" s="28"/>
      <c r="O10" s="28"/>
      <c r="P10" s="28"/>
      <c r="Q10" s="28"/>
      <c r="R10" s="28"/>
      <c r="S10" s="28"/>
      <c r="T10" s="28"/>
      <c r="U10" s="28"/>
      <c r="V10" s="28"/>
      <c r="W10" s="28"/>
      <c r="X10" s="28"/>
      <c r="Y10" s="28"/>
      <c r="Z10" s="28"/>
      <c r="AA10" s="28"/>
      <c r="AB10" s="28"/>
      <c r="AC10" s="28"/>
      <c r="AD10" s="28"/>
      <c r="AE10" s="28"/>
      <c r="AF10" s="28"/>
      <c r="AG10" s="28"/>
      <c r="AH10" s="28"/>
      <c r="AI10" s="28"/>
      <c r="AJ10" s="28"/>
      <c r="AK10" s="28"/>
      <c r="AL10" s="28"/>
      <c r="AM10" s="28"/>
      <c r="AN10" s="28"/>
      <c r="AO10" s="28">
        <v>3</v>
      </c>
      <c r="AP10" s="28">
        <v>3</v>
      </c>
      <c r="AQ10" s="31">
        <f t="shared" si="0"/>
        <v>6</v>
      </c>
    </row>
    <row r="11" spans="1:43" ht="14.4" x14ac:dyDescent="0.3">
      <c r="C11" s="2"/>
      <c r="D11" s="2"/>
      <c r="E11" s="2"/>
      <c r="F11" s="2"/>
      <c r="G11" s="2"/>
      <c r="H11" s="2"/>
      <c r="I11" s="2"/>
      <c r="J11" s="2"/>
      <c r="K11" s="2"/>
      <c r="L11" s="2"/>
      <c r="M11" s="2"/>
      <c r="N11" s="2"/>
      <c r="O11" s="2"/>
      <c r="P11" s="2"/>
      <c r="Q11" s="2"/>
      <c r="R11" s="2"/>
      <c r="S11" s="2"/>
      <c r="T11" s="2"/>
      <c r="U11" s="2"/>
      <c r="V11" s="2"/>
      <c r="W11" s="2"/>
      <c r="X11" s="2"/>
      <c r="Y11" s="2"/>
      <c r="Z11" s="2"/>
      <c r="AA11" s="2"/>
      <c r="AB11" s="2"/>
      <c r="AC11" s="2"/>
      <c r="AD11" s="2"/>
      <c r="AE11" s="2"/>
      <c r="AF11" s="2"/>
      <c r="AG11" s="2"/>
      <c r="AH11" s="2"/>
      <c r="AI11" s="2"/>
      <c r="AJ11" s="2"/>
      <c r="AK11" s="2"/>
      <c r="AL11" s="2"/>
      <c r="AM11" s="2"/>
      <c r="AN11" s="2"/>
      <c r="AO11" s="2"/>
      <c r="AP11" s="2"/>
    </row>
    <row r="12" spans="1:43" ht="14.4" x14ac:dyDescent="0.3">
      <c r="A12" s="37" t="s">
        <v>20</v>
      </c>
      <c r="B12" s="2">
        <f>SUM(B5:B11)</f>
        <v>98</v>
      </c>
      <c r="C12" s="2">
        <f t="shared" ref="C12:AP12" si="1">B12-SUM(C5:C10)</f>
        <v>98</v>
      </c>
      <c r="D12" s="2">
        <f t="shared" si="1"/>
        <v>97</v>
      </c>
      <c r="E12" s="2">
        <f t="shared" si="1"/>
        <v>96</v>
      </c>
      <c r="F12" s="2">
        <f t="shared" si="1"/>
        <v>93</v>
      </c>
      <c r="G12" s="2">
        <f t="shared" si="1"/>
        <v>90</v>
      </c>
      <c r="H12" s="2">
        <f t="shared" si="1"/>
        <v>89</v>
      </c>
      <c r="I12" s="2">
        <f t="shared" si="1"/>
        <v>89</v>
      </c>
      <c r="J12" s="2">
        <f t="shared" si="1"/>
        <v>89</v>
      </c>
      <c r="K12" s="2">
        <f t="shared" si="1"/>
        <v>89</v>
      </c>
      <c r="L12" s="2">
        <f t="shared" si="1"/>
        <v>87</v>
      </c>
      <c r="M12" s="2">
        <f t="shared" si="1"/>
        <v>85</v>
      </c>
      <c r="N12" s="2">
        <f t="shared" si="1"/>
        <v>83</v>
      </c>
      <c r="O12" s="2">
        <f t="shared" si="1"/>
        <v>82</v>
      </c>
      <c r="P12" s="2">
        <f t="shared" si="1"/>
        <v>80</v>
      </c>
      <c r="Q12" s="2">
        <f t="shared" si="1"/>
        <v>79</v>
      </c>
      <c r="R12" s="2">
        <f t="shared" si="1"/>
        <v>78</v>
      </c>
      <c r="S12" s="2">
        <f t="shared" si="1"/>
        <v>76</v>
      </c>
      <c r="T12" s="2">
        <f t="shared" si="1"/>
        <v>74</v>
      </c>
      <c r="U12" s="2">
        <f t="shared" si="1"/>
        <v>58</v>
      </c>
      <c r="V12" s="2">
        <f t="shared" si="1"/>
        <v>42</v>
      </c>
      <c r="W12" s="2">
        <f t="shared" si="1"/>
        <v>42</v>
      </c>
      <c r="X12" s="2">
        <f t="shared" si="1"/>
        <v>38</v>
      </c>
      <c r="Y12" s="2">
        <f t="shared" si="1"/>
        <v>38</v>
      </c>
      <c r="Z12" s="2">
        <f t="shared" si="1"/>
        <v>38</v>
      </c>
      <c r="AA12" s="2">
        <f t="shared" si="1"/>
        <v>38</v>
      </c>
      <c r="AB12" s="2">
        <f t="shared" si="1"/>
        <v>34</v>
      </c>
      <c r="AC12" s="2">
        <f t="shared" si="1"/>
        <v>33</v>
      </c>
      <c r="AD12" s="2">
        <f t="shared" si="1"/>
        <v>33</v>
      </c>
      <c r="AE12" s="2">
        <f t="shared" si="1"/>
        <v>33</v>
      </c>
      <c r="AF12" s="2">
        <f t="shared" si="1"/>
        <v>33</v>
      </c>
      <c r="AG12" s="2">
        <f t="shared" si="1"/>
        <v>31</v>
      </c>
      <c r="AH12" s="2">
        <f t="shared" si="1"/>
        <v>30</v>
      </c>
      <c r="AI12" s="2">
        <f t="shared" si="1"/>
        <v>15</v>
      </c>
      <c r="AJ12" s="2">
        <f t="shared" si="1"/>
        <v>15</v>
      </c>
      <c r="AK12" s="2">
        <f t="shared" si="1"/>
        <v>11</v>
      </c>
      <c r="AL12" s="2">
        <f t="shared" si="1"/>
        <v>11</v>
      </c>
      <c r="AM12" s="2">
        <f t="shared" si="1"/>
        <v>11</v>
      </c>
      <c r="AN12" s="2">
        <f t="shared" si="1"/>
        <v>11</v>
      </c>
      <c r="AO12" s="2">
        <f t="shared" si="1"/>
        <v>6</v>
      </c>
      <c r="AP12" s="2">
        <f t="shared" si="1"/>
        <v>1</v>
      </c>
    </row>
    <row r="13" spans="1:43" ht="14.4" x14ac:dyDescent="0.3">
      <c r="B13" s="2"/>
      <c r="C13" s="2"/>
      <c r="D13" s="2"/>
      <c r="E13" s="2"/>
      <c r="F13" s="2"/>
      <c r="G13" s="2"/>
      <c r="H13" s="2"/>
      <c r="I13" s="2"/>
      <c r="J13" s="2"/>
      <c r="K13" s="2"/>
      <c r="L13" s="2"/>
      <c r="M13" s="2"/>
      <c r="N13" s="2"/>
      <c r="O13" s="2"/>
      <c r="P13" s="2"/>
      <c r="Q13" s="2"/>
      <c r="R13" s="2"/>
      <c r="S13" s="2"/>
      <c r="T13" s="2"/>
      <c r="U13" s="2"/>
      <c r="V13" s="2"/>
      <c r="W13" s="2"/>
      <c r="X13" s="2"/>
      <c r="Y13" s="2"/>
      <c r="Z13" s="2"/>
      <c r="AA13" s="2"/>
      <c r="AB13" s="2"/>
      <c r="AC13" s="2"/>
      <c r="AD13" s="2"/>
      <c r="AE13" s="2"/>
      <c r="AF13" s="2"/>
      <c r="AG13" s="2"/>
      <c r="AH13" s="2"/>
      <c r="AI13" s="2"/>
      <c r="AJ13" s="2"/>
      <c r="AK13" s="2"/>
      <c r="AL13" s="2"/>
      <c r="AM13" s="2"/>
      <c r="AN13" s="2"/>
      <c r="AO13" s="2"/>
      <c r="AP13" s="2"/>
    </row>
    <row r="14" spans="1:43" ht="14.4" x14ac:dyDescent="0.3">
      <c r="A14" s="37" t="s">
        <v>27</v>
      </c>
      <c r="B14" s="44">
        <f>SUM(B5:B10)</f>
        <v>98</v>
      </c>
      <c r="C14" s="44">
        <f t="shared" ref="C14:AP14" si="2">ROUND(B14-(SUM($B$5:$B$10)/40), 1)</f>
        <v>95.6</v>
      </c>
      <c r="D14" s="44">
        <f t="shared" si="2"/>
        <v>93.2</v>
      </c>
      <c r="E14" s="44">
        <f t="shared" si="2"/>
        <v>90.8</v>
      </c>
      <c r="F14" s="44">
        <f t="shared" si="2"/>
        <v>88.4</v>
      </c>
      <c r="G14" s="44">
        <f t="shared" si="2"/>
        <v>86</v>
      </c>
      <c r="H14" s="44">
        <f t="shared" si="2"/>
        <v>83.6</v>
      </c>
      <c r="I14" s="44">
        <f t="shared" si="2"/>
        <v>81.2</v>
      </c>
      <c r="J14" s="44">
        <f t="shared" si="2"/>
        <v>78.8</v>
      </c>
      <c r="K14" s="44">
        <f t="shared" si="2"/>
        <v>76.400000000000006</v>
      </c>
      <c r="L14" s="44">
        <f t="shared" si="2"/>
        <v>74</v>
      </c>
      <c r="M14" s="44">
        <f t="shared" si="2"/>
        <v>71.599999999999994</v>
      </c>
      <c r="N14" s="44">
        <f t="shared" si="2"/>
        <v>69.2</v>
      </c>
      <c r="O14" s="44">
        <f t="shared" si="2"/>
        <v>66.8</v>
      </c>
      <c r="P14" s="44">
        <f t="shared" si="2"/>
        <v>64.400000000000006</v>
      </c>
      <c r="Q14" s="44">
        <f t="shared" si="2"/>
        <v>62</v>
      </c>
      <c r="R14" s="44">
        <f t="shared" si="2"/>
        <v>59.6</v>
      </c>
      <c r="S14" s="44">
        <f t="shared" si="2"/>
        <v>57.2</v>
      </c>
      <c r="T14" s="44">
        <f t="shared" si="2"/>
        <v>54.8</v>
      </c>
      <c r="U14" s="44">
        <f t="shared" si="2"/>
        <v>52.4</v>
      </c>
      <c r="V14" s="44">
        <f t="shared" si="2"/>
        <v>50</v>
      </c>
      <c r="W14" s="44">
        <f t="shared" si="2"/>
        <v>47.6</v>
      </c>
      <c r="X14" s="44">
        <f t="shared" si="2"/>
        <v>45.2</v>
      </c>
      <c r="Y14" s="44">
        <f t="shared" si="2"/>
        <v>42.8</v>
      </c>
      <c r="Z14" s="44">
        <f t="shared" si="2"/>
        <v>40.4</v>
      </c>
      <c r="AA14" s="44">
        <f t="shared" si="2"/>
        <v>38</v>
      </c>
      <c r="AB14" s="44">
        <f t="shared" si="2"/>
        <v>35.6</v>
      </c>
      <c r="AC14" s="44">
        <f t="shared" si="2"/>
        <v>33.200000000000003</v>
      </c>
      <c r="AD14" s="44">
        <f t="shared" si="2"/>
        <v>30.8</v>
      </c>
      <c r="AE14" s="44">
        <f t="shared" si="2"/>
        <v>28.4</v>
      </c>
      <c r="AF14" s="44">
        <f t="shared" si="2"/>
        <v>26</v>
      </c>
      <c r="AG14" s="44">
        <f t="shared" si="2"/>
        <v>23.6</v>
      </c>
      <c r="AH14" s="44">
        <f t="shared" si="2"/>
        <v>21.2</v>
      </c>
      <c r="AI14" s="44">
        <f t="shared" si="2"/>
        <v>18.8</v>
      </c>
      <c r="AJ14" s="44">
        <f t="shared" si="2"/>
        <v>16.399999999999999</v>
      </c>
      <c r="AK14" s="44">
        <f t="shared" si="2"/>
        <v>14</v>
      </c>
      <c r="AL14" s="44">
        <f t="shared" si="2"/>
        <v>11.6</v>
      </c>
      <c r="AM14" s="44">
        <f t="shared" si="2"/>
        <v>9.1999999999999993</v>
      </c>
      <c r="AN14" s="44">
        <f t="shared" si="2"/>
        <v>6.8</v>
      </c>
      <c r="AO14" s="44">
        <f t="shared" si="2"/>
        <v>4.4000000000000004</v>
      </c>
      <c r="AP14" s="44">
        <f t="shared" si="2"/>
        <v>2</v>
      </c>
    </row>
    <row r="15" spans="1:43" ht="14.4" x14ac:dyDescent="0.3">
      <c r="C15" s="2"/>
      <c r="D15" s="2"/>
      <c r="E15" s="2"/>
      <c r="F15" s="2"/>
      <c r="G15" s="2"/>
      <c r="H15" s="2"/>
      <c r="I15" s="2"/>
      <c r="J15" s="2"/>
      <c r="K15" s="2"/>
      <c r="L15" s="2"/>
      <c r="M15" s="2"/>
      <c r="N15" s="2"/>
      <c r="O15" s="2"/>
      <c r="P15" s="2"/>
      <c r="Q15" s="2"/>
      <c r="R15" s="2"/>
      <c r="S15" s="2"/>
      <c r="T15" s="2"/>
      <c r="U15" s="2"/>
      <c r="V15" s="2"/>
      <c r="W15" s="2"/>
      <c r="X15" s="2"/>
      <c r="Y15" s="2"/>
      <c r="Z15" s="2"/>
      <c r="AA15" s="2"/>
      <c r="AB15" s="2"/>
      <c r="AC15" s="2"/>
      <c r="AD15" s="2"/>
      <c r="AE15" s="2"/>
      <c r="AF15" s="2"/>
      <c r="AG15" s="2"/>
      <c r="AH15" s="2"/>
      <c r="AI15" s="2"/>
      <c r="AJ15" s="2"/>
      <c r="AK15" s="2"/>
      <c r="AL15" s="2"/>
      <c r="AM15" s="2"/>
      <c r="AN15" s="2"/>
      <c r="AO15" s="2"/>
      <c r="AP15" s="2"/>
    </row>
    <row r="16" spans="1:43" ht="14.4" x14ac:dyDescent="0.3">
      <c r="A16" s="42"/>
      <c r="B16" s="43"/>
      <c r="C16" s="23"/>
      <c r="D16" s="23"/>
      <c r="E16" s="23"/>
      <c r="F16" s="23"/>
      <c r="G16" s="23"/>
      <c r="H16" s="23"/>
      <c r="I16" s="23"/>
      <c r="J16" s="2"/>
      <c r="K16" s="2"/>
      <c r="L16" s="2"/>
      <c r="M16" s="2"/>
      <c r="N16" s="2"/>
      <c r="O16" s="2"/>
      <c r="P16" s="2"/>
      <c r="Q16" s="2"/>
      <c r="R16" s="2"/>
      <c r="S16" s="2"/>
      <c r="T16" s="2"/>
      <c r="U16" s="2"/>
      <c r="V16" s="2"/>
      <c r="W16" s="2"/>
      <c r="X16" s="2"/>
      <c r="Y16" s="2"/>
      <c r="Z16" s="2"/>
      <c r="AA16" s="2"/>
      <c r="AB16" s="2"/>
      <c r="AC16" s="2"/>
      <c r="AD16" s="2"/>
      <c r="AE16" s="2"/>
      <c r="AF16" s="2"/>
      <c r="AG16" s="2"/>
      <c r="AH16" s="2"/>
      <c r="AI16" s="2"/>
      <c r="AJ16" s="2"/>
      <c r="AK16" s="2"/>
      <c r="AL16" s="2"/>
      <c r="AM16" s="2"/>
      <c r="AN16" s="2"/>
      <c r="AO16" s="2"/>
      <c r="AP16" s="2"/>
    </row>
    <row r="17" spans="1:42" ht="14.4" x14ac:dyDescent="0.3">
      <c r="A17" s="42"/>
      <c r="B17" s="43"/>
      <c r="C17" s="23"/>
      <c r="D17" s="23"/>
      <c r="E17" s="23"/>
      <c r="F17" s="23"/>
      <c r="G17" s="45"/>
      <c r="H17" s="23"/>
      <c r="I17" s="23"/>
      <c r="J17" s="2"/>
      <c r="K17" s="2"/>
      <c r="L17" s="2"/>
      <c r="M17" s="2"/>
      <c r="N17" s="2"/>
      <c r="O17" s="2"/>
      <c r="P17" s="2"/>
      <c r="Q17" s="2"/>
      <c r="R17" s="2"/>
      <c r="S17" s="2"/>
      <c r="T17" s="2"/>
      <c r="U17" s="2"/>
      <c r="V17" s="2"/>
      <c r="W17" s="2"/>
      <c r="X17" s="2"/>
      <c r="Y17" s="2"/>
      <c r="Z17" s="2"/>
      <c r="AA17" s="2"/>
      <c r="AB17" s="2"/>
      <c r="AC17" s="2"/>
      <c r="AD17" s="2"/>
      <c r="AE17" s="2"/>
      <c r="AF17" s="2"/>
      <c r="AG17" s="2"/>
      <c r="AH17" s="2"/>
      <c r="AI17" s="2"/>
      <c r="AJ17" s="2"/>
      <c r="AK17" s="2"/>
      <c r="AL17" s="2"/>
      <c r="AM17" s="2"/>
      <c r="AN17" s="2"/>
      <c r="AO17" s="2"/>
      <c r="AP17" s="2"/>
    </row>
    <row r="18" spans="1:42" ht="14.4" x14ac:dyDescent="0.3">
      <c r="A18" s="42"/>
      <c r="B18" s="43"/>
      <c r="C18" s="23"/>
      <c r="D18" s="23"/>
      <c r="E18" s="23"/>
      <c r="F18" s="23"/>
      <c r="G18" s="45"/>
      <c r="H18" s="23"/>
      <c r="I18" s="23"/>
      <c r="J18" s="2"/>
      <c r="K18" s="2"/>
      <c r="L18" s="2"/>
      <c r="M18" s="2"/>
      <c r="N18" s="2"/>
      <c r="O18" s="2"/>
      <c r="P18" s="2"/>
      <c r="Q18" s="2"/>
      <c r="R18" s="2"/>
      <c r="S18" s="2"/>
      <c r="T18" s="2"/>
      <c r="U18" s="2"/>
      <c r="V18" s="2"/>
      <c r="W18" s="2"/>
      <c r="X18" s="2"/>
      <c r="Y18" s="2"/>
      <c r="Z18" s="2"/>
      <c r="AA18" s="2"/>
      <c r="AB18" s="2"/>
      <c r="AC18" s="2"/>
      <c r="AD18" s="2"/>
      <c r="AE18" s="2"/>
      <c r="AF18" s="2"/>
      <c r="AG18" s="2"/>
      <c r="AH18" s="2"/>
      <c r="AI18" s="2"/>
      <c r="AJ18" s="2"/>
      <c r="AK18" s="2"/>
      <c r="AL18" s="2"/>
      <c r="AM18" s="2"/>
      <c r="AN18" s="2"/>
      <c r="AO18" s="2"/>
      <c r="AP18" s="2"/>
    </row>
    <row r="19" spans="1:42" ht="14.4" x14ac:dyDescent="0.3">
      <c r="A19" s="42"/>
      <c r="B19" s="43"/>
      <c r="C19" s="23"/>
      <c r="D19" s="23"/>
      <c r="E19" s="23"/>
      <c r="F19" s="23"/>
      <c r="G19" s="45"/>
      <c r="H19" s="23"/>
      <c r="I19" s="23"/>
      <c r="J19" s="2"/>
      <c r="K19" s="2"/>
      <c r="L19" s="2"/>
      <c r="M19" s="2"/>
      <c r="N19" s="2"/>
      <c r="O19" s="2"/>
      <c r="P19" s="2"/>
      <c r="Q19" s="2"/>
      <c r="R19" s="2"/>
      <c r="S19" s="2"/>
      <c r="T19" s="2"/>
      <c r="U19" s="2"/>
      <c r="V19" s="2"/>
      <c r="W19" s="2"/>
      <c r="X19" s="2"/>
      <c r="Y19" s="2"/>
      <c r="Z19" s="2"/>
      <c r="AA19" s="2"/>
      <c r="AB19" s="2"/>
      <c r="AC19" s="2"/>
      <c r="AD19" s="2"/>
      <c r="AE19" s="2"/>
      <c r="AF19" s="2"/>
      <c r="AG19" s="2"/>
      <c r="AH19" s="2"/>
      <c r="AI19" s="2"/>
      <c r="AJ19" s="2"/>
      <c r="AK19" s="2"/>
      <c r="AL19" s="2"/>
      <c r="AM19" s="2"/>
      <c r="AN19" s="2"/>
      <c r="AO19" s="2"/>
      <c r="AP19" s="2"/>
    </row>
    <row r="20" spans="1:42" ht="14.4" x14ac:dyDescent="0.3">
      <c r="A20" s="42"/>
      <c r="B20" s="43"/>
      <c r="C20" s="23"/>
      <c r="D20" s="23"/>
      <c r="E20" s="23"/>
      <c r="F20" s="23"/>
      <c r="G20" s="45"/>
      <c r="H20" s="23"/>
      <c r="I20" s="23"/>
      <c r="J20" s="2"/>
      <c r="K20" s="2"/>
      <c r="L20" s="2"/>
      <c r="M20" s="2"/>
      <c r="N20" s="2"/>
      <c r="O20" s="2"/>
      <c r="P20" s="2"/>
      <c r="Q20" s="2"/>
      <c r="R20" s="2"/>
      <c r="S20" s="2"/>
      <c r="T20" s="2"/>
      <c r="U20" s="2"/>
      <c r="V20" s="2"/>
      <c r="W20" s="2"/>
      <c r="X20" s="2"/>
      <c r="Y20" s="2"/>
      <c r="Z20" s="2"/>
      <c r="AA20" s="2"/>
      <c r="AB20" s="2"/>
      <c r="AC20" s="2"/>
      <c r="AD20" s="2"/>
      <c r="AE20" s="2"/>
      <c r="AF20" s="2"/>
      <c r="AG20" s="2"/>
      <c r="AH20" s="2"/>
      <c r="AI20" s="2"/>
      <c r="AJ20" s="2"/>
      <c r="AK20" s="2"/>
      <c r="AL20" s="2"/>
      <c r="AM20" s="2"/>
      <c r="AN20" s="2"/>
      <c r="AO20" s="2"/>
      <c r="AP20" s="2"/>
    </row>
    <row r="21" spans="1:42" ht="15.75" customHeight="1" x14ac:dyDescent="0.3">
      <c r="A21" s="42"/>
      <c r="B21" s="43"/>
      <c r="C21" s="23"/>
      <c r="D21" s="23"/>
      <c r="E21" s="23"/>
      <c r="F21" s="23"/>
      <c r="G21" s="45"/>
      <c r="H21" s="23"/>
      <c r="I21" s="23"/>
      <c r="J21" s="2"/>
      <c r="K21" s="2"/>
      <c r="L21" s="2"/>
      <c r="M21" s="2"/>
      <c r="N21" s="2"/>
      <c r="O21" s="2"/>
      <c r="P21" s="2"/>
      <c r="Q21" s="2"/>
      <c r="R21" s="2"/>
      <c r="S21" s="2"/>
      <c r="T21" s="2"/>
      <c r="U21" s="2"/>
      <c r="V21" s="2"/>
      <c r="W21" s="2"/>
      <c r="X21" s="2"/>
      <c r="Y21" s="2"/>
      <c r="Z21" s="2"/>
      <c r="AA21" s="2"/>
      <c r="AB21" s="2"/>
      <c r="AC21" s="2"/>
      <c r="AD21" s="2"/>
      <c r="AE21" s="2"/>
      <c r="AF21" s="2"/>
      <c r="AG21" s="2"/>
      <c r="AH21" s="2"/>
      <c r="AI21" s="2"/>
      <c r="AJ21" s="2"/>
      <c r="AK21" s="2"/>
      <c r="AL21" s="2"/>
      <c r="AM21" s="2"/>
      <c r="AN21" s="2"/>
      <c r="AO21" s="2"/>
      <c r="AP21" s="2"/>
    </row>
    <row r="22" spans="1:42" ht="15.75" customHeight="1" x14ac:dyDescent="0.3">
      <c r="A22" s="42"/>
      <c r="B22" s="43"/>
      <c r="C22" s="23"/>
      <c r="D22" s="23"/>
      <c r="E22" s="23"/>
      <c r="F22" s="23"/>
      <c r="G22" s="45"/>
      <c r="H22" s="23"/>
      <c r="I22" s="23"/>
      <c r="J22" s="2"/>
      <c r="K22" s="2"/>
      <c r="L22" s="2"/>
      <c r="M22" s="2"/>
      <c r="N22" s="2"/>
      <c r="O22" s="2"/>
      <c r="P22" s="2"/>
      <c r="Q22" s="2"/>
      <c r="R22" s="2"/>
      <c r="S22" s="2"/>
      <c r="T22" s="2"/>
      <c r="U22" s="2"/>
      <c r="V22" s="2"/>
      <c r="W22" s="2"/>
      <c r="X22" s="2"/>
      <c r="Y22" s="2"/>
      <c r="Z22" s="2"/>
      <c r="AA22" s="2"/>
      <c r="AB22" s="2"/>
      <c r="AC22" s="2"/>
      <c r="AD22" s="2"/>
      <c r="AE22" s="2"/>
      <c r="AF22" s="2"/>
      <c r="AG22" s="2"/>
      <c r="AH22" s="2"/>
      <c r="AI22" s="2"/>
      <c r="AJ22" s="2"/>
      <c r="AK22" s="2"/>
      <c r="AL22" s="2"/>
      <c r="AM22" s="2"/>
      <c r="AN22" s="2"/>
      <c r="AO22" s="2"/>
      <c r="AP22" s="2"/>
    </row>
    <row r="23" spans="1:42" ht="15.75" customHeight="1" x14ac:dyDescent="0.3">
      <c r="A23" s="42"/>
      <c r="B23" s="43"/>
      <c r="C23" s="23"/>
      <c r="D23" s="23"/>
      <c r="E23" s="23"/>
      <c r="F23" s="23"/>
      <c r="G23" s="23"/>
      <c r="H23" s="23"/>
      <c r="I23" s="23"/>
      <c r="J23" s="2"/>
      <c r="K23" s="2"/>
      <c r="L23" s="2"/>
      <c r="M23" s="2"/>
      <c r="N23" s="2"/>
      <c r="O23" s="2"/>
      <c r="P23" s="2"/>
      <c r="Q23" s="2"/>
      <c r="R23" s="2"/>
      <c r="S23" s="2"/>
      <c r="T23" s="2"/>
      <c r="U23" s="2"/>
      <c r="V23" s="2"/>
      <c r="W23" s="2"/>
      <c r="X23" s="2"/>
      <c r="Y23" s="2"/>
      <c r="Z23" s="2"/>
      <c r="AA23" s="2"/>
      <c r="AB23" s="2"/>
      <c r="AC23" s="2"/>
      <c r="AD23" s="2"/>
      <c r="AE23" s="2"/>
      <c r="AF23" s="2"/>
      <c r="AG23" s="2"/>
      <c r="AH23" s="2"/>
      <c r="AI23" s="2"/>
      <c r="AJ23" s="2"/>
      <c r="AK23" s="2"/>
      <c r="AL23" s="2"/>
      <c r="AM23" s="2"/>
      <c r="AN23" s="2"/>
      <c r="AO23" s="2"/>
      <c r="AP23" s="2"/>
    </row>
    <row r="24" spans="1:42" ht="15.75" customHeight="1" x14ac:dyDescent="0.3">
      <c r="A24" s="42"/>
      <c r="B24" s="43"/>
      <c r="C24" s="23"/>
      <c r="D24" s="23"/>
      <c r="E24" s="23"/>
      <c r="F24" s="23"/>
      <c r="G24" s="23"/>
      <c r="H24" s="23"/>
      <c r="I24" s="23"/>
      <c r="J24" s="2"/>
      <c r="K24" s="2"/>
      <c r="L24" s="2"/>
      <c r="M24" s="2"/>
      <c r="N24" s="2"/>
      <c r="O24" s="2"/>
      <c r="P24" s="2"/>
      <c r="Q24" s="2"/>
      <c r="R24" s="2"/>
      <c r="S24" s="2"/>
      <c r="T24" s="2"/>
      <c r="U24" s="2"/>
      <c r="V24" s="2"/>
      <c r="W24" s="2"/>
      <c r="X24" s="2"/>
      <c r="Y24" s="2"/>
      <c r="Z24" s="2"/>
      <c r="AA24" s="2"/>
      <c r="AB24" s="2"/>
      <c r="AC24" s="2"/>
      <c r="AD24" s="2"/>
      <c r="AE24" s="2"/>
      <c r="AF24" s="2"/>
      <c r="AG24" s="2"/>
      <c r="AH24" s="2"/>
      <c r="AI24" s="2"/>
      <c r="AJ24" s="2"/>
      <c r="AK24" s="2"/>
      <c r="AL24" s="2"/>
      <c r="AM24" s="2"/>
      <c r="AN24" s="2"/>
      <c r="AO24" s="2"/>
      <c r="AP24" s="2"/>
    </row>
    <row r="25" spans="1:42" ht="15.75" customHeight="1" x14ac:dyDescent="0.3">
      <c r="A25" s="42"/>
      <c r="B25" s="43"/>
      <c r="C25" s="23"/>
      <c r="D25" s="23"/>
      <c r="E25" s="23"/>
      <c r="F25" s="23"/>
      <c r="G25" s="23"/>
      <c r="H25" s="23"/>
      <c r="I25" s="23"/>
      <c r="J25" s="2"/>
      <c r="K25" s="2"/>
      <c r="L25" s="2"/>
      <c r="M25" s="2"/>
      <c r="N25" s="2"/>
      <c r="O25" s="2"/>
      <c r="P25" s="2"/>
      <c r="Q25" s="2"/>
      <c r="R25" s="2"/>
      <c r="S25" s="2"/>
      <c r="T25" s="2"/>
      <c r="U25" s="2"/>
      <c r="V25" s="2"/>
      <c r="W25" s="2"/>
      <c r="X25" s="2"/>
      <c r="Y25" s="2"/>
      <c r="Z25" s="2"/>
      <c r="AA25" s="2"/>
      <c r="AB25" s="2"/>
      <c r="AC25" s="2"/>
      <c r="AD25" s="2"/>
      <c r="AE25" s="2"/>
      <c r="AF25" s="2"/>
      <c r="AG25" s="2"/>
      <c r="AH25" s="2"/>
      <c r="AI25" s="2"/>
      <c r="AJ25" s="2"/>
      <c r="AK25" s="2"/>
      <c r="AL25" s="2"/>
      <c r="AM25" s="2"/>
      <c r="AN25" s="2"/>
      <c r="AO25" s="2"/>
      <c r="AP25" s="2"/>
    </row>
    <row r="26" spans="1:42" ht="15.75" customHeight="1" x14ac:dyDescent="0.3">
      <c r="C26" s="2"/>
      <c r="D26" s="2"/>
      <c r="E26" s="2"/>
      <c r="F26" s="2"/>
      <c r="G26" s="2"/>
      <c r="H26" s="2"/>
      <c r="I26" s="2"/>
      <c r="J26" s="2"/>
      <c r="K26" s="2"/>
      <c r="L26" s="2"/>
      <c r="M26" s="2"/>
      <c r="N26" s="2"/>
      <c r="O26" s="2"/>
      <c r="P26" s="2"/>
      <c r="Q26" s="2"/>
      <c r="R26" s="2"/>
      <c r="S26" s="2"/>
      <c r="T26" s="2"/>
      <c r="U26" s="2"/>
      <c r="V26" s="2"/>
      <c r="W26" s="2"/>
      <c r="X26" s="2"/>
      <c r="Y26" s="2"/>
      <c r="Z26" s="2"/>
      <c r="AA26" s="2"/>
      <c r="AB26" s="2"/>
      <c r="AC26" s="2"/>
      <c r="AD26" s="2"/>
      <c r="AE26" s="2"/>
      <c r="AF26" s="2"/>
      <c r="AG26" s="2"/>
      <c r="AH26" s="2"/>
      <c r="AI26" s="2"/>
      <c r="AJ26" s="2"/>
      <c r="AK26" s="2"/>
      <c r="AL26" s="2"/>
      <c r="AM26" s="2"/>
      <c r="AN26" s="2"/>
      <c r="AO26" s="2"/>
      <c r="AP26" s="2"/>
    </row>
    <row r="27" spans="1:42" ht="15.75" customHeight="1" x14ac:dyDescent="0.3">
      <c r="C27" s="2"/>
      <c r="D27" s="2"/>
      <c r="E27" s="2"/>
      <c r="F27" s="2"/>
      <c r="G27" s="2"/>
      <c r="H27" s="2"/>
      <c r="I27" s="2"/>
      <c r="J27" s="2"/>
      <c r="K27" s="2"/>
      <c r="L27" s="2"/>
      <c r="M27" s="2"/>
      <c r="N27" s="2"/>
      <c r="O27" s="2"/>
      <c r="P27" s="2"/>
      <c r="Q27" s="2"/>
      <c r="R27" s="2"/>
      <c r="S27" s="2"/>
      <c r="T27" s="2"/>
      <c r="U27" s="2"/>
      <c r="V27" s="2"/>
      <c r="W27" s="2"/>
      <c r="X27" s="2"/>
      <c r="Y27" s="2"/>
      <c r="Z27" s="2"/>
      <c r="AA27" s="2"/>
      <c r="AB27" s="2"/>
      <c r="AC27" s="2"/>
      <c r="AD27" s="2"/>
      <c r="AE27" s="2"/>
      <c r="AF27" s="2"/>
      <c r="AG27" s="2"/>
      <c r="AH27" s="2"/>
      <c r="AI27" s="2"/>
      <c r="AJ27" s="2"/>
      <c r="AK27" s="2"/>
      <c r="AL27" s="2"/>
      <c r="AM27" s="2"/>
      <c r="AN27" s="2"/>
      <c r="AO27" s="2"/>
      <c r="AP27" s="2"/>
    </row>
    <row r="28" spans="1:42" ht="15.75" customHeight="1" x14ac:dyDescent="0.3">
      <c r="C28" s="2"/>
      <c r="D28" s="2"/>
      <c r="E28" s="2"/>
      <c r="F28" s="2"/>
      <c r="G28" s="2"/>
      <c r="H28" s="2"/>
      <c r="I28" s="2"/>
      <c r="J28" s="2"/>
      <c r="K28" s="2"/>
      <c r="L28" s="2"/>
      <c r="M28" s="2"/>
      <c r="N28" s="2"/>
      <c r="O28" s="2"/>
      <c r="P28" s="2"/>
      <c r="Q28" s="2"/>
      <c r="R28" s="2"/>
      <c r="S28" s="2"/>
      <c r="T28" s="2"/>
      <c r="U28" s="2"/>
      <c r="V28" s="2"/>
      <c r="W28" s="2"/>
      <c r="X28" s="2"/>
      <c r="Y28" s="2"/>
      <c r="Z28" s="2"/>
      <c r="AA28" s="2"/>
      <c r="AB28" s="2"/>
      <c r="AC28" s="2"/>
      <c r="AD28" s="2"/>
      <c r="AE28" s="2"/>
      <c r="AF28" s="2"/>
      <c r="AG28" s="2"/>
      <c r="AH28" s="2"/>
      <c r="AI28" s="2"/>
      <c r="AJ28" s="2"/>
      <c r="AK28" s="2"/>
      <c r="AL28" s="2"/>
      <c r="AM28" s="2"/>
      <c r="AN28" s="2"/>
      <c r="AO28" s="2"/>
      <c r="AP28" s="2"/>
    </row>
    <row r="29" spans="1:42" ht="15.75" customHeight="1" x14ac:dyDescent="0.3">
      <c r="C29" s="2"/>
      <c r="D29" s="2"/>
      <c r="E29" s="2"/>
      <c r="F29" s="2"/>
      <c r="G29" s="2"/>
      <c r="H29" s="2"/>
      <c r="I29" s="2"/>
      <c r="J29" s="2"/>
      <c r="K29" s="2"/>
      <c r="L29" s="2"/>
      <c r="M29" s="2"/>
      <c r="N29" s="2"/>
      <c r="O29" s="2"/>
      <c r="P29" s="2"/>
      <c r="Q29" s="2"/>
      <c r="R29" s="2"/>
      <c r="S29" s="2"/>
      <c r="T29" s="2"/>
      <c r="U29" s="2"/>
      <c r="V29" s="2"/>
      <c r="W29" s="2"/>
      <c r="X29" s="2"/>
      <c r="Y29" s="2"/>
      <c r="Z29" s="2"/>
      <c r="AA29" s="2"/>
      <c r="AB29" s="2"/>
      <c r="AC29" s="2"/>
      <c r="AD29" s="2"/>
      <c r="AE29" s="2"/>
      <c r="AF29" s="2"/>
      <c r="AG29" s="2"/>
      <c r="AH29" s="2"/>
      <c r="AI29" s="2"/>
      <c r="AJ29" s="2"/>
      <c r="AK29" s="2"/>
      <c r="AL29" s="2"/>
      <c r="AM29" s="2"/>
      <c r="AN29" s="2"/>
      <c r="AO29" s="2"/>
      <c r="AP29" s="2"/>
    </row>
    <row r="30" spans="1:42" ht="15.75" customHeight="1" x14ac:dyDescent="0.3">
      <c r="C30" s="2"/>
      <c r="D30" s="2"/>
      <c r="E30" s="2"/>
      <c r="F30" s="2"/>
      <c r="G30" s="2"/>
      <c r="H30" s="2"/>
      <c r="I30" s="2"/>
      <c r="J30" s="2"/>
      <c r="K30" s="2"/>
      <c r="L30" s="2"/>
      <c r="M30" s="2"/>
      <c r="N30" s="2"/>
      <c r="O30" s="2"/>
      <c r="P30" s="2"/>
      <c r="Q30" s="2"/>
      <c r="R30" s="2"/>
      <c r="S30" s="2"/>
      <c r="T30" s="2"/>
      <c r="U30" s="2"/>
      <c r="V30" s="2"/>
      <c r="W30" s="2"/>
      <c r="X30" s="2"/>
      <c r="Y30" s="2"/>
      <c r="Z30" s="2"/>
      <c r="AA30" s="2"/>
      <c r="AB30" s="2"/>
      <c r="AC30" s="2"/>
      <c r="AD30" s="2"/>
      <c r="AE30" s="2"/>
      <c r="AF30" s="2"/>
      <c r="AG30" s="2"/>
      <c r="AH30" s="2"/>
      <c r="AI30" s="2"/>
      <c r="AJ30" s="2"/>
      <c r="AK30" s="2"/>
      <c r="AL30" s="2"/>
      <c r="AM30" s="2"/>
      <c r="AN30" s="2"/>
      <c r="AO30" s="2"/>
      <c r="AP30" s="2"/>
    </row>
    <row r="31" spans="1:42" ht="15.75" customHeight="1" x14ac:dyDescent="0.3">
      <c r="C31" s="2"/>
      <c r="D31" s="2"/>
      <c r="E31" s="2"/>
      <c r="F31" s="2"/>
      <c r="G31" s="2"/>
      <c r="H31" s="2"/>
      <c r="I31" s="2"/>
      <c r="J31" s="2"/>
      <c r="K31" s="2"/>
      <c r="L31" s="2"/>
      <c r="M31" s="2"/>
      <c r="N31" s="2"/>
      <c r="O31" s="2"/>
      <c r="P31" s="2"/>
      <c r="Q31" s="2"/>
      <c r="R31" s="2"/>
      <c r="S31" s="2"/>
      <c r="T31" s="2"/>
      <c r="U31" s="2"/>
      <c r="V31" s="2"/>
      <c r="W31" s="2"/>
      <c r="X31" s="2"/>
      <c r="Y31" s="2"/>
      <c r="Z31" s="2"/>
      <c r="AA31" s="2"/>
      <c r="AB31" s="2"/>
      <c r="AC31" s="2"/>
      <c r="AD31" s="2"/>
      <c r="AE31" s="2"/>
      <c r="AF31" s="2"/>
      <c r="AG31" s="2"/>
      <c r="AH31" s="2"/>
      <c r="AI31" s="2"/>
      <c r="AJ31" s="2"/>
      <c r="AK31" s="2"/>
      <c r="AL31" s="2"/>
      <c r="AM31" s="2"/>
      <c r="AN31" s="2"/>
      <c r="AO31" s="2"/>
      <c r="AP31" s="2"/>
    </row>
    <row r="32" spans="1:42" ht="15.75" customHeight="1" x14ac:dyDescent="0.3">
      <c r="C32" s="2"/>
      <c r="D32" s="2"/>
      <c r="E32" s="2"/>
      <c r="F32" s="2"/>
      <c r="G32" s="2"/>
      <c r="H32" s="2"/>
      <c r="I32" s="2"/>
      <c r="J32" s="2"/>
      <c r="K32" s="2"/>
      <c r="L32" s="2"/>
      <c r="M32" s="2"/>
      <c r="N32" s="2"/>
      <c r="O32" s="2"/>
      <c r="P32" s="2"/>
      <c r="Q32" s="2"/>
      <c r="R32" s="2"/>
      <c r="S32" s="2"/>
      <c r="T32" s="2"/>
      <c r="U32" s="2"/>
      <c r="V32" s="2"/>
      <c r="W32" s="2"/>
      <c r="X32" s="2"/>
      <c r="Y32" s="2"/>
      <c r="Z32" s="2"/>
      <c r="AA32" s="2"/>
      <c r="AB32" s="2"/>
      <c r="AC32" s="2"/>
      <c r="AD32" s="2"/>
      <c r="AE32" s="2"/>
      <c r="AF32" s="2"/>
      <c r="AG32" s="2"/>
      <c r="AH32" s="2"/>
      <c r="AI32" s="2"/>
      <c r="AJ32" s="2"/>
      <c r="AK32" s="2"/>
      <c r="AL32" s="2"/>
      <c r="AM32" s="2"/>
      <c r="AN32" s="2"/>
      <c r="AO32" s="2"/>
      <c r="AP32" s="2"/>
    </row>
    <row r="33" spans="3:42" ht="15.75" customHeight="1" x14ac:dyDescent="0.3">
      <c r="C33" s="2"/>
      <c r="D33" s="2"/>
      <c r="E33" s="2"/>
      <c r="F33" s="2"/>
      <c r="G33" s="2"/>
      <c r="H33" s="2"/>
      <c r="I33" s="2"/>
      <c r="J33" s="2"/>
      <c r="K33" s="2"/>
      <c r="L33" s="2"/>
      <c r="M33" s="2"/>
      <c r="N33" s="2"/>
      <c r="O33" s="2"/>
      <c r="P33" s="2"/>
      <c r="Q33" s="2"/>
      <c r="R33" s="2"/>
      <c r="S33" s="2"/>
      <c r="T33" s="2"/>
      <c r="U33" s="2"/>
      <c r="V33" s="2"/>
      <c r="W33" s="2"/>
      <c r="X33" s="2"/>
      <c r="Y33" s="2"/>
      <c r="Z33" s="2"/>
      <c r="AA33" s="2"/>
      <c r="AB33" s="2"/>
      <c r="AC33" s="2"/>
      <c r="AD33" s="2"/>
      <c r="AE33" s="2"/>
      <c r="AF33" s="2"/>
      <c r="AG33" s="2"/>
      <c r="AH33" s="2"/>
      <c r="AI33" s="2"/>
      <c r="AJ33" s="2"/>
      <c r="AK33" s="2"/>
      <c r="AL33" s="2"/>
      <c r="AM33" s="2"/>
      <c r="AN33" s="2"/>
      <c r="AO33" s="2"/>
      <c r="AP33" s="2"/>
    </row>
    <row r="34" spans="3:42" ht="15.75" customHeight="1" x14ac:dyDescent="0.3">
      <c r="C34" s="2"/>
      <c r="D34" s="2"/>
      <c r="E34" s="2"/>
      <c r="F34" s="2"/>
      <c r="G34" s="2"/>
      <c r="H34" s="2"/>
      <c r="I34" s="2"/>
      <c r="J34" s="2"/>
      <c r="K34" s="2"/>
      <c r="L34" s="2"/>
      <c r="M34" s="2"/>
      <c r="N34" s="2"/>
      <c r="O34" s="2"/>
      <c r="P34" s="2"/>
      <c r="Q34" s="2"/>
      <c r="R34" s="2"/>
      <c r="S34" s="2"/>
      <c r="T34" s="2"/>
      <c r="U34" s="2"/>
      <c r="V34" s="2"/>
      <c r="W34" s="2"/>
      <c r="X34" s="2"/>
      <c r="Y34" s="2"/>
      <c r="Z34" s="2"/>
      <c r="AA34" s="2"/>
      <c r="AB34" s="2"/>
      <c r="AC34" s="2"/>
      <c r="AD34" s="2"/>
      <c r="AE34" s="2"/>
      <c r="AF34" s="2"/>
      <c r="AG34" s="2"/>
      <c r="AH34" s="2"/>
      <c r="AI34" s="2"/>
      <c r="AJ34" s="2"/>
      <c r="AK34" s="2"/>
      <c r="AL34" s="2"/>
      <c r="AM34" s="2"/>
      <c r="AN34" s="2"/>
      <c r="AO34" s="2"/>
      <c r="AP34" s="2"/>
    </row>
    <row r="35" spans="3:42" ht="15.75" customHeight="1" x14ac:dyDescent="0.3">
      <c r="C35" s="2"/>
      <c r="D35" s="2"/>
      <c r="E35" s="2"/>
      <c r="F35" s="2"/>
      <c r="G35" s="2"/>
      <c r="H35" s="2"/>
      <c r="I35" s="2"/>
      <c r="J35" s="2"/>
      <c r="K35" s="2"/>
      <c r="L35" s="2"/>
      <c r="M35" s="2"/>
      <c r="N35" s="2"/>
      <c r="O35" s="2"/>
      <c r="P35" s="2"/>
      <c r="Q35" s="2"/>
      <c r="R35" s="2"/>
      <c r="S35" s="2"/>
      <c r="T35" s="2"/>
      <c r="U35" s="2"/>
      <c r="V35" s="2"/>
      <c r="W35" s="2"/>
      <c r="X35" s="2"/>
      <c r="Y35" s="2"/>
      <c r="Z35" s="2"/>
      <c r="AA35" s="2"/>
      <c r="AB35" s="2"/>
      <c r="AC35" s="2"/>
      <c r="AD35" s="2"/>
      <c r="AE35" s="2"/>
      <c r="AF35" s="2"/>
      <c r="AG35" s="2"/>
      <c r="AH35" s="2"/>
      <c r="AI35" s="2"/>
      <c r="AJ35" s="2"/>
      <c r="AK35" s="2"/>
      <c r="AL35" s="2"/>
      <c r="AM35" s="2"/>
      <c r="AN35" s="2"/>
      <c r="AO35" s="2"/>
      <c r="AP35" s="2"/>
    </row>
    <row r="36" spans="3:42" ht="15.75" customHeight="1" x14ac:dyDescent="0.3">
      <c r="C36" s="2"/>
      <c r="D36" s="2"/>
      <c r="E36" s="2"/>
      <c r="F36" s="2"/>
      <c r="G36" s="2"/>
      <c r="H36" s="2"/>
      <c r="I36" s="2"/>
      <c r="J36" s="2"/>
      <c r="K36" s="2"/>
      <c r="L36" s="2"/>
      <c r="M36" s="2"/>
      <c r="N36" s="2"/>
      <c r="O36" s="2"/>
      <c r="P36" s="2"/>
      <c r="Q36" s="2"/>
      <c r="R36" s="2"/>
      <c r="S36" s="2"/>
      <c r="T36" s="2"/>
      <c r="U36" s="2"/>
      <c r="V36" s="2"/>
      <c r="W36" s="2"/>
      <c r="X36" s="2"/>
      <c r="Y36" s="2"/>
      <c r="Z36" s="2"/>
      <c r="AA36" s="2"/>
      <c r="AB36" s="2"/>
      <c r="AC36" s="2"/>
      <c r="AD36" s="2"/>
      <c r="AE36" s="2"/>
      <c r="AF36" s="2"/>
      <c r="AG36" s="2"/>
      <c r="AH36" s="2"/>
      <c r="AI36" s="2"/>
      <c r="AJ36" s="2"/>
      <c r="AK36" s="2"/>
      <c r="AL36" s="2"/>
      <c r="AM36" s="2"/>
      <c r="AN36" s="2"/>
      <c r="AO36" s="2"/>
      <c r="AP36" s="2"/>
    </row>
    <row r="37" spans="3:42" ht="15.75" customHeight="1" x14ac:dyDescent="0.3">
      <c r="C37" s="2"/>
      <c r="D37" s="2"/>
      <c r="E37" s="2"/>
      <c r="F37" s="2"/>
      <c r="G37" s="2"/>
      <c r="H37" s="2"/>
      <c r="I37" s="2"/>
      <c r="J37" s="2"/>
      <c r="K37" s="2"/>
      <c r="L37" s="2"/>
      <c r="M37" s="2"/>
      <c r="N37" s="2"/>
      <c r="O37" s="2"/>
      <c r="P37" s="2"/>
      <c r="Q37" s="2"/>
      <c r="R37" s="2"/>
      <c r="S37" s="2"/>
      <c r="T37" s="2"/>
      <c r="U37" s="2"/>
      <c r="V37" s="2"/>
      <c r="W37" s="2"/>
      <c r="X37" s="2"/>
      <c r="Y37" s="2"/>
      <c r="Z37" s="2"/>
      <c r="AA37" s="2"/>
      <c r="AB37" s="2"/>
      <c r="AC37" s="2"/>
      <c r="AD37" s="2"/>
      <c r="AE37" s="2"/>
      <c r="AF37" s="2"/>
      <c r="AG37" s="2"/>
      <c r="AH37" s="2"/>
      <c r="AI37" s="2"/>
      <c r="AJ37" s="2"/>
      <c r="AK37" s="2"/>
      <c r="AL37" s="2"/>
      <c r="AM37" s="2"/>
      <c r="AN37" s="2"/>
      <c r="AO37" s="2"/>
      <c r="AP37" s="2"/>
    </row>
    <row r="38" spans="3:42" ht="15.75" customHeight="1" x14ac:dyDescent="0.3">
      <c r="C38" s="2"/>
      <c r="D38" s="2"/>
      <c r="E38" s="2"/>
      <c r="F38" s="2"/>
      <c r="G38" s="2"/>
      <c r="H38" s="2"/>
      <c r="I38" s="2"/>
      <c r="J38" s="2"/>
      <c r="K38" s="2"/>
      <c r="L38" s="2"/>
      <c r="M38" s="2"/>
      <c r="N38" s="2"/>
      <c r="O38" s="2"/>
      <c r="P38" s="2"/>
      <c r="Q38" s="2"/>
      <c r="R38" s="2"/>
      <c r="S38" s="2"/>
      <c r="T38" s="2"/>
      <c r="U38" s="2"/>
      <c r="V38" s="2"/>
      <c r="W38" s="2"/>
      <c r="X38" s="2"/>
      <c r="Y38" s="2"/>
      <c r="Z38" s="2"/>
      <c r="AA38" s="2"/>
      <c r="AB38" s="2"/>
      <c r="AC38" s="2"/>
      <c r="AD38" s="2"/>
      <c r="AE38" s="2"/>
      <c r="AF38" s="2"/>
      <c r="AG38" s="2"/>
      <c r="AH38" s="2"/>
      <c r="AI38" s="2"/>
      <c r="AJ38" s="2"/>
      <c r="AK38" s="2"/>
      <c r="AL38" s="2"/>
      <c r="AM38" s="2"/>
      <c r="AN38" s="2"/>
      <c r="AO38" s="2"/>
      <c r="AP38" s="2"/>
    </row>
    <row r="39" spans="3:42" ht="15.75" customHeight="1" x14ac:dyDescent="0.3">
      <c r="C39" s="2"/>
      <c r="D39" s="2"/>
      <c r="E39" s="2"/>
      <c r="F39" s="2"/>
      <c r="G39" s="2"/>
      <c r="H39" s="2"/>
      <c r="I39" s="2"/>
      <c r="J39" s="2"/>
      <c r="K39" s="2"/>
      <c r="L39" s="2"/>
      <c r="M39" s="2"/>
      <c r="N39" s="2"/>
      <c r="O39" s="2"/>
      <c r="P39" s="2"/>
      <c r="Q39" s="2"/>
      <c r="R39" s="2"/>
      <c r="S39" s="2"/>
      <c r="T39" s="2"/>
      <c r="U39" s="2"/>
      <c r="V39" s="2"/>
      <c r="W39" s="2"/>
      <c r="X39" s="2"/>
      <c r="Y39" s="2"/>
      <c r="Z39" s="2"/>
      <c r="AA39" s="2"/>
      <c r="AB39" s="2"/>
      <c r="AC39" s="2"/>
      <c r="AD39" s="2"/>
      <c r="AE39" s="2"/>
      <c r="AF39" s="2"/>
      <c r="AG39" s="2"/>
      <c r="AH39" s="2"/>
      <c r="AI39" s="2"/>
      <c r="AJ39" s="2"/>
      <c r="AK39" s="2"/>
      <c r="AL39" s="2"/>
      <c r="AM39" s="2"/>
      <c r="AN39" s="2"/>
      <c r="AO39" s="2"/>
      <c r="AP39" s="2"/>
    </row>
    <row r="40" spans="3:42" ht="15.75" customHeight="1" x14ac:dyDescent="0.3">
      <c r="C40" s="2"/>
      <c r="D40" s="2"/>
      <c r="E40" s="2"/>
      <c r="F40" s="2"/>
      <c r="G40" s="2"/>
      <c r="H40" s="2"/>
      <c r="I40" s="2"/>
      <c r="J40" s="2"/>
      <c r="K40" s="2"/>
      <c r="L40" s="2"/>
      <c r="M40" s="2"/>
      <c r="N40" s="2"/>
      <c r="O40" s="2"/>
      <c r="P40" s="2"/>
      <c r="Q40" s="2"/>
      <c r="R40" s="2"/>
      <c r="S40" s="2"/>
      <c r="T40" s="2"/>
      <c r="U40" s="2"/>
      <c r="V40" s="2"/>
      <c r="W40" s="2"/>
      <c r="X40" s="2"/>
      <c r="Y40" s="2"/>
      <c r="Z40" s="2"/>
      <c r="AA40" s="2"/>
      <c r="AB40" s="2"/>
      <c r="AC40" s="2"/>
      <c r="AD40" s="2"/>
      <c r="AE40" s="2"/>
      <c r="AF40" s="2"/>
      <c r="AG40" s="2"/>
      <c r="AH40" s="2"/>
      <c r="AI40" s="2"/>
      <c r="AJ40" s="2"/>
      <c r="AK40" s="2"/>
      <c r="AL40" s="2"/>
      <c r="AM40" s="2"/>
      <c r="AN40" s="2"/>
      <c r="AO40" s="2"/>
      <c r="AP40" s="2"/>
    </row>
    <row r="41" spans="3:42" ht="15.75" customHeight="1" x14ac:dyDescent="0.3">
      <c r="C41" s="2"/>
      <c r="D41" s="2"/>
      <c r="E41" s="2"/>
      <c r="F41" s="2"/>
      <c r="G41" s="2"/>
      <c r="H41" s="2"/>
      <c r="I41" s="2"/>
      <c r="J41" s="2"/>
      <c r="K41" s="2"/>
      <c r="L41" s="2"/>
      <c r="M41" s="2"/>
      <c r="N41" s="2"/>
      <c r="O41" s="2"/>
      <c r="P41" s="2"/>
      <c r="Q41" s="2"/>
      <c r="R41" s="2"/>
      <c r="S41" s="2"/>
      <c r="T41" s="2"/>
      <c r="U41" s="2"/>
      <c r="V41" s="2"/>
      <c r="W41" s="2"/>
      <c r="X41" s="2"/>
      <c r="Y41" s="2"/>
      <c r="Z41" s="2"/>
      <c r="AA41" s="2"/>
      <c r="AB41" s="2"/>
      <c r="AC41" s="2"/>
      <c r="AD41" s="2"/>
      <c r="AE41" s="2"/>
      <c r="AF41" s="2"/>
      <c r="AG41" s="2"/>
      <c r="AH41" s="2"/>
      <c r="AI41" s="2"/>
      <c r="AJ41" s="2"/>
      <c r="AK41" s="2"/>
      <c r="AL41" s="2"/>
      <c r="AM41" s="2"/>
      <c r="AN41" s="2"/>
      <c r="AO41" s="2"/>
      <c r="AP41" s="2"/>
    </row>
    <row r="42" spans="3:42" ht="15.75" customHeight="1" x14ac:dyDescent="0.3">
      <c r="C42" s="2"/>
      <c r="D42" s="2"/>
      <c r="E42" s="2"/>
      <c r="F42" s="2"/>
      <c r="G42" s="2"/>
      <c r="H42" s="2"/>
      <c r="I42" s="2"/>
      <c r="J42" s="2"/>
      <c r="K42" s="2"/>
      <c r="L42" s="2"/>
      <c r="M42" s="2"/>
      <c r="N42" s="2"/>
      <c r="O42" s="2"/>
      <c r="P42" s="2"/>
      <c r="Q42" s="2"/>
      <c r="R42" s="2"/>
      <c r="S42" s="2"/>
      <c r="T42" s="2"/>
      <c r="U42" s="2"/>
      <c r="V42" s="2"/>
      <c r="W42" s="2"/>
      <c r="X42" s="2"/>
      <c r="Y42" s="2"/>
      <c r="Z42" s="2"/>
      <c r="AA42" s="2"/>
      <c r="AB42" s="2"/>
      <c r="AC42" s="2"/>
      <c r="AD42" s="2"/>
      <c r="AE42" s="2"/>
      <c r="AF42" s="2"/>
      <c r="AG42" s="2"/>
      <c r="AH42" s="2"/>
      <c r="AI42" s="2"/>
      <c r="AJ42" s="2"/>
      <c r="AK42" s="2"/>
      <c r="AL42" s="2"/>
      <c r="AM42" s="2"/>
      <c r="AN42" s="2"/>
      <c r="AO42" s="2"/>
      <c r="AP42" s="2"/>
    </row>
    <row r="43" spans="3:42" ht="15.75" customHeight="1" x14ac:dyDescent="0.3">
      <c r="C43" s="2"/>
      <c r="D43" s="2"/>
      <c r="E43" s="2"/>
      <c r="F43" s="2"/>
      <c r="G43" s="2"/>
      <c r="H43" s="2"/>
      <c r="I43" s="2"/>
      <c r="J43" s="2"/>
      <c r="K43" s="2"/>
      <c r="L43" s="2"/>
      <c r="M43" s="2"/>
      <c r="N43" s="2"/>
      <c r="O43" s="2"/>
      <c r="P43" s="2"/>
      <c r="Q43" s="2"/>
      <c r="R43" s="2"/>
      <c r="S43" s="2"/>
      <c r="T43" s="2"/>
      <c r="U43" s="2"/>
      <c r="V43" s="2"/>
      <c r="W43" s="2"/>
      <c r="X43" s="2"/>
      <c r="Y43" s="2"/>
      <c r="Z43" s="2"/>
      <c r="AA43" s="2"/>
      <c r="AB43" s="2"/>
      <c r="AC43" s="2"/>
      <c r="AD43" s="2"/>
      <c r="AE43" s="2"/>
      <c r="AF43" s="2"/>
      <c r="AG43" s="2"/>
      <c r="AH43" s="2"/>
      <c r="AI43" s="2"/>
      <c r="AJ43" s="2"/>
      <c r="AK43" s="2"/>
      <c r="AL43" s="2"/>
      <c r="AM43" s="2"/>
      <c r="AN43" s="2"/>
      <c r="AO43" s="2"/>
      <c r="AP43" s="2"/>
    </row>
    <row r="44" spans="3:42" ht="15.75" customHeight="1" x14ac:dyDescent="0.3">
      <c r="C44" s="2"/>
      <c r="D44" s="2"/>
      <c r="E44" s="2"/>
      <c r="F44" s="2"/>
      <c r="G44" s="2"/>
      <c r="H44" s="2"/>
      <c r="I44" s="2"/>
      <c r="J44" s="2"/>
      <c r="K44" s="2"/>
      <c r="L44" s="2"/>
      <c r="M44" s="2"/>
      <c r="N44" s="2"/>
      <c r="O44" s="2"/>
      <c r="P44" s="2"/>
      <c r="Q44" s="2"/>
      <c r="R44" s="2"/>
      <c r="S44" s="2"/>
      <c r="T44" s="2"/>
      <c r="U44" s="2"/>
      <c r="V44" s="2"/>
      <c r="W44" s="2"/>
      <c r="X44" s="2"/>
      <c r="Y44" s="2"/>
      <c r="Z44" s="2"/>
      <c r="AA44" s="2"/>
      <c r="AB44" s="2"/>
      <c r="AC44" s="2"/>
      <c r="AD44" s="2"/>
      <c r="AE44" s="2"/>
      <c r="AF44" s="2"/>
      <c r="AG44" s="2"/>
      <c r="AH44" s="2"/>
      <c r="AI44" s="2"/>
      <c r="AJ44" s="2"/>
      <c r="AK44" s="2"/>
      <c r="AL44" s="2"/>
      <c r="AM44" s="2"/>
      <c r="AN44" s="2"/>
      <c r="AO44" s="2"/>
      <c r="AP44" s="2"/>
    </row>
    <row r="45" spans="3:42" ht="15.75" customHeight="1" x14ac:dyDescent="0.3">
      <c r="C45" s="2"/>
      <c r="D45" s="2"/>
      <c r="E45" s="2"/>
      <c r="F45" s="2"/>
      <c r="G45" s="2"/>
      <c r="H45" s="2"/>
      <c r="I45" s="2"/>
      <c r="J45" s="2"/>
      <c r="K45" s="2"/>
      <c r="L45" s="2"/>
      <c r="M45" s="2"/>
      <c r="N45" s="2"/>
      <c r="O45" s="2"/>
      <c r="P45" s="2"/>
      <c r="Q45" s="2"/>
      <c r="R45" s="2"/>
      <c r="S45" s="2"/>
      <c r="T45" s="2"/>
      <c r="U45" s="2"/>
      <c r="V45" s="2"/>
      <c r="W45" s="2"/>
      <c r="X45" s="2"/>
      <c r="Y45" s="2"/>
      <c r="Z45" s="2"/>
      <c r="AA45" s="2"/>
      <c r="AB45" s="2"/>
      <c r="AC45" s="2"/>
      <c r="AD45" s="2"/>
      <c r="AE45" s="2"/>
      <c r="AF45" s="2"/>
      <c r="AG45" s="2"/>
      <c r="AH45" s="2"/>
      <c r="AI45" s="2"/>
      <c r="AJ45" s="2"/>
      <c r="AK45" s="2"/>
      <c r="AL45" s="2"/>
      <c r="AM45" s="2"/>
      <c r="AN45" s="2"/>
      <c r="AO45" s="2"/>
      <c r="AP45" s="2"/>
    </row>
    <row r="46" spans="3:42" ht="15.75" customHeight="1" x14ac:dyDescent="0.3">
      <c r="C46" s="2"/>
      <c r="D46" s="2"/>
      <c r="E46" s="2"/>
      <c r="F46" s="2"/>
      <c r="G46" s="2"/>
      <c r="H46" s="2"/>
      <c r="I46" s="2"/>
      <c r="J46" s="2"/>
      <c r="K46" s="2"/>
      <c r="L46" s="2"/>
      <c r="M46" s="2"/>
      <c r="N46" s="2"/>
      <c r="O46" s="2"/>
      <c r="P46" s="2"/>
      <c r="Q46" s="2"/>
      <c r="R46" s="2"/>
      <c r="S46" s="2"/>
      <c r="T46" s="2"/>
      <c r="U46" s="2"/>
      <c r="V46" s="2"/>
      <c r="W46" s="2"/>
      <c r="X46" s="2"/>
      <c r="Y46" s="2"/>
      <c r="Z46" s="2"/>
      <c r="AA46" s="2"/>
      <c r="AB46" s="2"/>
      <c r="AC46" s="2"/>
      <c r="AD46" s="2"/>
      <c r="AE46" s="2"/>
      <c r="AF46" s="2"/>
      <c r="AG46" s="2"/>
      <c r="AH46" s="2"/>
      <c r="AI46" s="2"/>
      <c r="AJ46" s="2"/>
      <c r="AK46" s="2"/>
      <c r="AL46" s="2"/>
      <c r="AM46" s="2"/>
      <c r="AN46" s="2"/>
      <c r="AO46" s="2"/>
      <c r="AP46" s="2"/>
    </row>
    <row r="47" spans="3:42" ht="15.75" customHeight="1" x14ac:dyDescent="0.3">
      <c r="C47" s="2"/>
      <c r="D47" s="2"/>
      <c r="E47" s="2"/>
      <c r="F47" s="2"/>
      <c r="G47" s="2"/>
      <c r="H47" s="2"/>
      <c r="I47" s="2"/>
      <c r="J47" s="2"/>
      <c r="K47" s="2"/>
      <c r="L47" s="2"/>
      <c r="M47" s="2"/>
      <c r="N47" s="2"/>
      <c r="O47" s="2"/>
      <c r="P47" s="2"/>
      <c r="Q47" s="2"/>
      <c r="R47" s="2"/>
      <c r="S47" s="2"/>
      <c r="T47" s="2"/>
      <c r="U47" s="2"/>
      <c r="V47" s="2"/>
      <c r="W47" s="2"/>
      <c r="X47" s="2"/>
      <c r="Y47" s="2"/>
      <c r="Z47" s="2"/>
      <c r="AA47" s="2"/>
      <c r="AB47" s="2"/>
      <c r="AC47" s="2"/>
      <c r="AD47" s="2"/>
      <c r="AE47" s="2"/>
      <c r="AF47" s="2"/>
      <c r="AG47" s="2"/>
      <c r="AH47" s="2"/>
      <c r="AI47" s="2"/>
      <c r="AJ47" s="2"/>
      <c r="AK47" s="2"/>
      <c r="AL47" s="2"/>
      <c r="AM47" s="2"/>
      <c r="AN47" s="2"/>
      <c r="AO47" s="2"/>
      <c r="AP47" s="2"/>
    </row>
    <row r="48" spans="3:42" ht="15.75" customHeight="1" x14ac:dyDescent="0.3">
      <c r="C48" s="2"/>
      <c r="D48" s="2"/>
      <c r="E48" s="2"/>
      <c r="F48" s="2"/>
      <c r="G48" s="2"/>
      <c r="H48" s="2"/>
      <c r="I48" s="2"/>
      <c r="J48" s="2"/>
      <c r="K48" s="2"/>
      <c r="L48" s="2"/>
      <c r="M48" s="2"/>
      <c r="N48" s="2"/>
      <c r="O48" s="2"/>
      <c r="P48" s="2"/>
      <c r="Q48" s="2"/>
      <c r="R48" s="2"/>
      <c r="S48" s="2"/>
      <c r="T48" s="2"/>
      <c r="U48" s="2"/>
      <c r="V48" s="2"/>
      <c r="W48" s="2"/>
      <c r="X48" s="2"/>
      <c r="Y48" s="2"/>
      <c r="Z48" s="2"/>
      <c r="AA48" s="2"/>
      <c r="AB48" s="2"/>
      <c r="AC48" s="2"/>
      <c r="AD48" s="2"/>
      <c r="AE48" s="2"/>
      <c r="AF48" s="2"/>
      <c r="AG48" s="2"/>
      <c r="AH48" s="2"/>
      <c r="AI48" s="2"/>
      <c r="AJ48" s="2"/>
      <c r="AK48" s="2"/>
      <c r="AL48" s="2"/>
      <c r="AM48" s="2"/>
      <c r="AN48" s="2"/>
      <c r="AO48" s="2"/>
      <c r="AP48" s="2"/>
    </row>
    <row r="49" spans="3:42" ht="15.75" customHeight="1" x14ac:dyDescent="0.3">
      <c r="C49" s="2"/>
      <c r="D49" s="2"/>
      <c r="E49" s="2"/>
      <c r="F49" s="2"/>
      <c r="G49" s="2"/>
      <c r="H49" s="2"/>
      <c r="I49" s="2"/>
      <c r="J49" s="2"/>
      <c r="K49" s="2"/>
      <c r="L49" s="2"/>
      <c r="M49" s="2"/>
      <c r="N49" s="2"/>
      <c r="O49" s="2"/>
      <c r="P49" s="2"/>
      <c r="Q49" s="2"/>
      <c r="R49" s="2"/>
      <c r="S49" s="2"/>
      <c r="T49" s="2"/>
      <c r="U49" s="2"/>
      <c r="V49" s="2"/>
      <c r="W49" s="2"/>
      <c r="X49" s="2"/>
      <c r="Y49" s="2"/>
      <c r="Z49" s="2"/>
      <c r="AA49" s="2"/>
      <c r="AB49" s="2"/>
      <c r="AC49" s="2"/>
      <c r="AD49" s="2"/>
      <c r="AE49" s="2"/>
      <c r="AF49" s="2"/>
      <c r="AG49" s="2"/>
      <c r="AH49" s="2"/>
      <c r="AI49" s="2"/>
      <c r="AJ49" s="2"/>
      <c r="AK49" s="2"/>
      <c r="AL49" s="2"/>
      <c r="AM49" s="2"/>
      <c r="AN49" s="2"/>
      <c r="AO49" s="2"/>
      <c r="AP49" s="2"/>
    </row>
    <row r="50" spans="3:42" ht="15.75" customHeight="1" x14ac:dyDescent="0.3">
      <c r="C50" s="2"/>
      <c r="D50" s="2"/>
      <c r="E50" s="2"/>
      <c r="F50" s="2"/>
      <c r="G50" s="2"/>
      <c r="H50" s="2"/>
      <c r="I50" s="2"/>
      <c r="J50" s="2"/>
      <c r="K50" s="2"/>
      <c r="L50" s="2"/>
      <c r="M50" s="2"/>
      <c r="N50" s="2"/>
      <c r="O50" s="2"/>
      <c r="P50" s="2"/>
      <c r="Q50" s="2"/>
      <c r="R50" s="2"/>
      <c r="S50" s="2"/>
      <c r="T50" s="2"/>
      <c r="U50" s="2"/>
      <c r="V50" s="2"/>
      <c r="W50" s="2"/>
      <c r="X50" s="2"/>
      <c r="Y50" s="2"/>
      <c r="Z50" s="2"/>
      <c r="AA50" s="2"/>
      <c r="AB50" s="2"/>
      <c r="AC50" s="2"/>
      <c r="AD50" s="2"/>
      <c r="AE50" s="2"/>
      <c r="AF50" s="2"/>
      <c r="AG50" s="2"/>
      <c r="AH50" s="2"/>
      <c r="AI50" s="2"/>
      <c r="AJ50" s="2"/>
      <c r="AK50" s="2"/>
      <c r="AL50" s="2"/>
      <c r="AM50" s="2"/>
      <c r="AN50" s="2"/>
      <c r="AO50" s="2"/>
      <c r="AP50" s="2"/>
    </row>
    <row r="51" spans="3:42" ht="15.75" customHeight="1" x14ac:dyDescent="0.3">
      <c r="C51" s="2"/>
      <c r="D51" s="2"/>
      <c r="E51" s="2"/>
      <c r="F51" s="2"/>
      <c r="G51" s="2"/>
      <c r="H51" s="2"/>
      <c r="I51" s="2"/>
      <c r="J51" s="2"/>
      <c r="K51" s="2"/>
      <c r="L51" s="2"/>
      <c r="M51" s="2"/>
      <c r="N51" s="2"/>
      <c r="O51" s="2"/>
      <c r="P51" s="2"/>
      <c r="Q51" s="2"/>
      <c r="R51" s="2"/>
      <c r="S51" s="2"/>
      <c r="T51" s="2"/>
      <c r="U51" s="2"/>
      <c r="V51" s="2"/>
      <c r="W51" s="2"/>
      <c r="X51" s="2"/>
      <c r="Y51" s="2"/>
      <c r="Z51" s="2"/>
      <c r="AA51" s="2"/>
      <c r="AB51" s="2"/>
      <c r="AC51" s="2"/>
      <c r="AD51" s="2"/>
      <c r="AE51" s="2"/>
      <c r="AF51" s="2"/>
      <c r="AG51" s="2"/>
      <c r="AH51" s="2"/>
      <c r="AI51" s="2"/>
      <c r="AJ51" s="2"/>
      <c r="AK51" s="2"/>
      <c r="AL51" s="2"/>
      <c r="AM51" s="2"/>
      <c r="AN51" s="2"/>
      <c r="AO51" s="2"/>
      <c r="AP51" s="2"/>
    </row>
    <row r="52" spans="3:42" ht="15.75" customHeight="1" x14ac:dyDescent="0.3">
      <c r="C52" s="2"/>
      <c r="D52" s="2"/>
      <c r="E52" s="2"/>
      <c r="F52" s="2"/>
      <c r="G52" s="2"/>
      <c r="H52" s="2"/>
      <c r="I52" s="2"/>
      <c r="J52" s="2"/>
      <c r="K52" s="2"/>
      <c r="L52" s="2"/>
      <c r="M52" s="2"/>
      <c r="N52" s="2"/>
      <c r="O52" s="2"/>
      <c r="P52" s="2"/>
      <c r="Q52" s="2"/>
      <c r="R52" s="2"/>
      <c r="S52" s="2"/>
      <c r="T52" s="2"/>
      <c r="U52" s="2"/>
      <c r="V52" s="2"/>
      <c r="W52" s="2"/>
      <c r="X52" s="2"/>
      <c r="Y52" s="2"/>
      <c r="Z52" s="2"/>
      <c r="AA52" s="2"/>
      <c r="AB52" s="2"/>
      <c r="AC52" s="2"/>
      <c r="AD52" s="2"/>
      <c r="AE52" s="2"/>
      <c r="AF52" s="2"/>
      <c r="AG52" s="2"/>
      <c r="AH52" s="2"/>
      <c r="AI52" s="2"/>
      <c r="AJ52" s="2"/>
      <c r="AK52" s="2"/>
      <c r="AL52" s="2"/>
      <c r="AM52" s="2"/>
      <c r="AN52" s="2"/>
      <c r="AO52" s="2"/>
      <c r="AP52" s="2"/>
    </row>
    <row r="53" spans="3:42" ht="15.75" customHeight="1" x14ac:dyDescent="0.3">
      <c r="C53" s="2"/>
      <c r="D53" s="2"/>
      <c r="E53" s="2"/>
      <c r="F53" s="2"/>
      <c r="G53" s="2"/>
      <c r="H53" s="2"/>
      <c r="I53" s="2"/>
      <c r="J53" s="2"/>
      <c r="K53" s="2"/>
      <c r="L53" s="2"/>
      <c r="M53" s="2"/>
      <c r="N53" s="2"/>
      <c r="O53" s="2"/>
      <c r="P53" s="2"/>
      <c r="Q53" s="2"/>
      <c r="R53" s="2"/>
      <c r="S53" s="2"/>
      <c r="T53" s="2"/>
      <c r="U53" s="2"/>
      <c r="V53" s="2"/>
      <c r="W53" s="2"/>
      <c r="X53" s="2"/>
      <c r="Y53" s="2"/>
      <c r="Z53" s="2"/>
      <c r="AA53" s="2"/>
      <c r="AB53" s="2"/>
      <c r="AC53" s="2"/>
      <c r="AD53" s="2"/>
      <c r="AE53" s="2"/>
      <c r="AF53" s="2"/>
      <c r="AG53" s="2"/>
      <c r="AH53" s="2"/>
      <c r="AI53" s="2"/>
      <c r="AJ53" s="2"/>
      <c r="AK53" s="2"/>
      <c r="AL53" s="2"/>
      <c r="AM53" s="2"/>
      <c r="AN53" s="2"/>
      <c r="AO53" s="2"/>
      <c r="AP53" s="2"/>
    </row>
    <row r="54" spans="3:42" ht="15.75" customHeight="1" x14ac:dyDescent="0.3">
      <c r="C54" s="2"/>
      <c r="D54" s="2"/>
      <c r="E54" s="2"/>
      <c r="F54" s="2"/>
      <c r="G54" s="2"/>
      <c r="H54" s="2"/>
      <c r="I54" s="2"/>
      <c r="J54" s="2"/>
      <c r="K54" s="2"/>
      <c r="L54" s="2"/>
      <c r="M54" s="2"/>
      <c r="N54" s="2"/>
      <c r="O54" s="2"/>
      <c r="P54" s="2"/>
      <c r="Q54" s="2"/>
      <c r="R54" s="2"/>
      <c r="S54" s="2"/>
      <c r="T54" s="2"/>
      <c r="U54" s="2"/>
      <c r="V54" s="2"/>
      <c r="W54" s="2"/>
      <c r="X54" s="2"/>
      <c r="Y54" s="2"/>
      <c r="Z54" s="2"/>
      <c r="AA54" s="2"/>
      <c r="AB54" s="2"/>
      <c r="AC54" s="2"/>
      <c r="AD54" s="2"/>
      <c r="AE54" s="2"/>
      <c r="AF54" s="2"/>
      <c r="AG54" s="2"/>
      <c r="AH54" s="2"/>
      <c r="AI54" s="2"/>
      <c r="AJ54" s="2"/>
      <c r="AK54" s="2"/>
      <c r="AL54" s="2"/>
      <c r="AM54" s="2"/>
      <c r="AN54" s="2"/>
      <c r="AO54" s="2"/>
      <c r="AP54" s="2"/>
    </row>
    <row r="55" spans="3:42" ht="15.75" customHeight="1" x14ac:dyDescent="0.3">
      <c r="C55" s="2"/>
      <c r="D55" s="2"/>
      <c r="E55" s="2"/>
      <c r="F55" s="2"/>
      <c r="G55" s="2"/>
      <c r="H55" s="2"/>
      <c r="I55" s="2"/>
      <c r="J55" s="2"/>
      <c r="K55" s="2"/>
      <c r="L55" s="2"/>
      <c r="M55" s="2"/>
      <c r="N55" s="2"/>
      <c r="O55" s="2"/>
      <c r="P55" s="2"/>
      <c r="Q55" s="2"/>
      <c r="R55" s="2"/>
      <c r="S55" s="2"/>
      <c r="T55" s="2"/>
      <c r="U55" s="2"/>
      <c r="V55" s="2"/>
      <c r="W55" s="2"/>
      <c r="X55" s="2"/>
      <c r="Y55" s="2"/>
      <c r="Z55" s="2"/>
      <c r="AA55" s="2"/>
      <c r="AB55" s="2"/>
      <c r="AC55" s="2"/>
      <c r="AD55" s="2"/>
      <c r="AE55" s="2"/>
      <c r="AF55" s="2"/>
      <c r="AG55" s="2"/>
      <c r="AH55" s="2"/>
      <c r="AI55" s="2"/>
      <c r="AJ55" s="2"/>
      <c r="AK55" s="2"/>
      <c r="AL55" s="2"/>
      <c r="AM55" s="2"/>
      <c r="AN55" s="2"/>
      <c r="AO55" s="2"/>
      <c r="AP55" s="2"/>
    </row>
    <row r="56" spans="3:42" ht="15.75" customHeight="1" x14ac:dyDescent="0.3">
      <c r="C56" s="2"/>
      <c r="D56" s="2"/>
      <c r="E56" s="2"/>
      <c r="F56" s="2"/>
      <c r="G56" s="2"/>
      <c r="H56" s="2"/>
      <c r="I56" s="2"/>
      <c r="J56" s="2"/>
      <c r="K56" s="2"/>
      <c r="L56" s="2"/>
      <c r="M56" s="2"/>
      <c r="N56" s="2"/>
      <c r="O56" s="2"/>
      <c r="P56" s="2"/>
      <c r="Q56" s="2"/>
      <c r="R56" s="2"/>
      <c r="S56" s="2"/>
      <c r="T56" s="2"/>
      <c r="U56" s="2"/>
      <c r="V56" s="2"/>
      <c r="W56" s="2"/>
      <c r="X56" s="2"/>
      <c r="Y56" s="2"/>
      <c r="Z56" s="2"/>
      <c r="AA56" s="2"/>
      <c r="AB56" s="2"/>
      <c r="AC56" s="2"/>
      <c r="AD56" s="2"/>
      <c r="AE56" s="2"/>
      <c r="AF56" s="2"/>
      <c r="AG56" s="2"/>
      <c r="AH56" s="2"/>
      <c r="AI56" s="2"/>
      <c r="AJ56" s="2"/>
      <c r="AK56" s="2"/>
      <c r="AL56" s="2"/>
      <c r="AM56" s="2"/>
      <c r="AN56" s="2"/>
      <c r="AO56" s="2"/>
      <c r="AP56" s="2"/>
    </row>
    <row r="57" spans="3:42" ht="15.75" customHeight="1" x14ac:dyDescent="0.3">
      <c r="C57" s="2"/>
      <c r="D57" s="2"/>
      <c r="E57" s="2"/>
      <c r="F57" s="2"/>
      <c r="G57" s="2"/>
      <c r="H57" s="2"/>
      <c r="I57" s="2"/>
      <c r="J57" s="2"/>
      <c r="K57" s="2"/>
      <c r="L57" s="2"/>
      <c r="M57" s="2"/>
      <c r="N57" s="2"/>
      <c r="O57" s="2"/>
      <c r="P57" s="2"/>
      <c r="Q57" s="2"/>
      <c r="R57" s="2"/>
      <c r="S57" s="2"/>
      <c r="T57" s="2"/>
      <c r="U57" s="2"/>
      <c r="V57" s="2"/>
      <c r="W57" s="2"/>
      <c r="X57" s="2"/>
      <c r="Y57" s="2"/>
      <c r="Z57" s="2"/>
      <c r="AA57" s="2"/>
      <c r="AB57" s="2"/>
      <c r="AC57" s="2"/>
      <c r="AD57" s="2"/>
      <c r="AE57" s="2"/>
      <c r="AF57" s="2"/>
      <c r="AG57" s="2"/>
      <c r="AH57" s="2"/>
      <c r="AI57" s="2"/>
      <c r="AJ57" s="2"/>
      <c r="AK57" s="2"/>
      <c r="AL57" s="2"/>
      <c r="AM57" s="2"/>
      <c r="AN57" s="2"/>
      <c r="AO57" s="2"/>
      <c r="AP57" s="2"/>
    </row>
    <row r="58" spans="3:42" ht="15.75" customHeight="1" x14ac:dyDescent="0.3">
      <c r="C58" s="2"/>
      <c r="D58" s="2"/>
      <c r="E58" s="2"/>
      <c r="F58" s="2"/>
      <c r="G58" s="2"/>
      <c r="H58" s="2"/>
      <c r="I58" s="2"/>
      <c r="J58" s="2"/>
      <c r="K58" s="2"/>
      <c r="L58" s="2"/>
      <c r="M58" s="2"/>
      <c r="N58" s="2"/>
      <c r="O58" s="2"/>
      <c r="P58" s="2"/>
      <c r="Q58" s="2"/>
      <c r="R58" s="2"/>
      <c r="S58" s="2"/>
      <c r="T58" s="2"/>
      <c r="U58" s="2"/>
      <c r="V58" s="2"/>
      <c r="W58" s="2"/>
      <c r="X58" s="2"/>
      <c r="Y58" s="2"/>
      <c r="Z58" s="2"/>
      <c r="AA58" s="2"/>
      <c r="AB58" s="2"/>
      <c r="AC58" s="2"/>
      <c r="AD58" s="2"/>
      <c r="AE58" s="2"/>
      <c r="AF58" s="2"/>
      <c r="AG58" s="2"/>
      <c r="AH58" s="2"/>
      <c r="AI58" s="2"/>
      <c r="AJ58" s="2"/>
      <c r="AK58" s="2"/>
      <c r="AL58" s="2"/>
      <c r="AM58" s="2"/>
      <c r="AN58" s="2"/>
      <c r="AO58" s="2"/>
      <c r="AP58" s="2"/>
    </row>
    <row r="59" spans="3:42" ht="15.75" customHeight="1" x14ac:dyDescent="0.3">
      <c r="C59" s="2"/>
      <c r="D59" s="2"/>
      <c r="E59" s="2"/>
      <c r="F59" s="2"/>
      <c r="G59" s="2"/>
      <c r="H59" s="2"/>
      <c r="I59" s="2"/>
      <c r="J59" s="2"/>
      <c r="K59" s="2"/>
      <c r="L59" s="2"/>
      <c r="M59" s="2"/>
      <c r="N59" s="2"/>
      <c r="O59" s="2"/>
      <c r="P59" s="2"/>
      <c r="Q59" s="2"/>
      <c r="R59" s="2"/>
      <c r="S59" s="2"/>
      <c r="T59" s="2"/>
      <c r="U59" s="2"/>
      <c r="V59" s="2"/>
      <c r="W59" s="2"/>
      <c r="X59" s="2"/>
      <c r="Y59" s="2"/>
      <c r="Z59" s="2"/>
      <c r="AA59" s="2"/>
      <c r="AB59" s="2"/>
      <c r="AC59" s="2"/>
      <c r="AD59" s="2"/>
      <c r="AE59" s="2"/>
      <c r="AF59" s="2"/>
      <c r="AG59" s="2"/>
      <c r="AH59" s="2"/>
      <c r="AI59" s="2"/>
      <c r="AJ59" s="2"/>
      <c r="AK59" s="2"/>
      <c r="AL59" s="2"/>
      <c r="AM59" s="2"/>
      <c r="AN59" s="2"/>
      <c r="AO59" s="2"/>
      <c r="AP59" s="2"/>
    </row>
    <row r="60" spans="3:42" ht="15.75" customHeight="1" x14ac:dyDescent="0.3">
      <c r="C60" s="2"/>
      <c r="D60" s="2"/>
      <c r="E60" s="2"/>
      <c r="F60" s="2"/>
      <c r="G60" s="2"/>
      <c r="H60" s="2"/>
      <c r="I60" s="2"/>
      <c r="J60" s="2"/>
      <c r="K60" s="2"/>
      <c r="L60" s="2"/>
      <c r="M60" s="2"/>
      <c r="N60" s="2"/>
      <c r="O60" s="2"/>
      <c r="P60" s="2"/>
      <c r="Q60" s="2"/>
      <c r="R60" s="2"/>
      <c r="S60" s="2"/>
      <c r="T60" s="2"/>
      <c r="U60" s="2"/>
      <c r="V60" s="2"/>
      <c r="W60" s="2"/>
      <c r="X60" s="2"/>
      <c r="Y60" s="2"/>
      <c r="Z60" s="2"/>
      <c r="AA60" s="2"/>
      <c r="AB60" s="2"/>
      <c r="AC60" s="2"/>
      <c r="AD60" s="2"/>
      <c r="AE60" s="2"/>
      <c r="AF60" s="2"/>
      <c r="AG60" s="2"/>
      <c r="AH60" s="2"/>
      <c r="AI60" s="2"/>
      <c r="AJ60" s="2"/>
      <c r="AK60" s="2"/>
      <c r="AL60" s="2"/>
      <c r="AM60" s="2"/>
      <c r="AN60" s="2"/>
      <c r="AO60" s="2"/>
      <c r="AP60" s="2"/>
    </row>
    <row r="61" spans="3:42" ht="15.75" customHeight="1" x14ac:dyDescent="0.3">
      <c r="C61" s="2"/>
      <c r="D61" s="2"/>
      <c r="E61" s="2"/>
      <c r="F61" s="2"/>
      <c r="G61" s="2"/>
      <c r="H61" s="2"/>
      <c r="I61" s="2"/>
      <c r="J61" s="2"/>
      <c r="K61" s="2"/>
      <c r="L61" s="2"/>
      <c r="M61" s="2"/>
      <c r="N61" s="2"/>
      <c r="O61" s="2"/>
      <c r="P61" s="2"/>
      <c r="Q61" s="2"/>
      <c r="R61" s="2"/>
      <c r="S61" s="2"/>
      <c r="T61" s="2"/>
      <c r="U61" s="2"/>
      <c r="V61" s="2"/>
      <c r="W61" s="2"/>
      <c r="X61" s="2"/>
      <c r="Y61" s="2"/>
      <c r="Z61" s="2"/>
      <c r="AA61" s="2"/>
      <c r="AB61" s="2"/>
      <c r="AC61" s="2"/>
      <c r="AD61" s="2"/>
      <c r="AE61" s="2"/>
      <c r="AF61" s="2"/>
      <c r="AG61" s="2"/>
      <c r="AH61" s="2"/>
      <c r="AI61" s="2"/>
      <c r="AJ61" s="2"/>
      <c r="AK61" s="2"/>
      <c r="AL61" s="2"/>
      <c r="AM61" s="2"/>
      <c r="AN61" s="2"/>
      <c r="AO61" s="2"/>
      <c r="AP61" s="2"/>
    </row>
    <row r="62" spans="3:42" ht="15.75" customHeight="1" x14ac:dyDescent="0.3">
      <c r="C62" s="2"/>
      <c r="D62" s="2"/>
      <c r="E62" s="2"/>
      <c r="F62" s="2"/>
      <c r="G62" s="2"/>
      <c r="H62" s="2"/>
      <c r="I62" s="2"/>
      <c r="J62" s="2"/>
      <c r="K62" s="2"/>
      <c r="L62" s="2"/>
      <c r="M62" s="2"/>
      <c r="N62" s="2"/>
      <c r="O62" s="2"/>
      <c r="P62" s="2"/>
      <c r="Q62" s="2"/>
      <c r="R62" s="2"/>
      <c r="S62" s="2"/>
      <c r="T62" s="2"/>
      <c r="U62" s="2"/>
      <c r="V62" s="2"/>
      <c r="W62" s="2"/>
      <c r="X62" s="2"/>
      <c r="Y62" s="2"/>
      <c r="Z62" s="2"/>
      <c r="AA62" s="2"/>
      <c r="AB62" s="2"/>
      <c r="AC62" s="2"/>
      <c r="AD62" s="2"/>
      <c r="AE62" s="2"/>
      <c r="AF62" s="2"/>
      <c r="AG62" s="2"/>
      <c r="AH62" s="2"/>
      <c r="AI62" s="2"/>
      <c r="AJ62" s="2"/>
      <c r="AK62" s="2"/>
      <c r="AL62" s="2"/>
      <c r="AM62" s="2"/>
      <c r="AN62" s="2"/>
      <c r="AO62" s="2"/>
      <c r="AP62" s="2"/>
    </row>
    <row r="63" spans="3:42" ht="15.75" customHeight="1" x14ac:dyDescent="0.3">
      <c r="C63" s="2"/>
      <c r="D63" s="2"/>
      <c r="E63" s="2"/>
      <c r="F63" s="2"/>
      <c r="G63" s="2"/>
      <c r="H63" s="2"/>
      <c r="I63" s="2"/>
      <c r="J63" s="2"/>
      <c r="K63" s="2"/>
      <c r="L63" s="2"/>
      <c r="M63" s="2"/>
      <c r="N63" s="2"/>
      <c r="O63" s="2"/>
      <c r="P63" s="2"/>
      <c r="Q63" s="2"/>
      <c r="R63" s="2"/>
      <c r="S63" s="2"/>
      <c r="T63" s="2"/>
      <c r="U63" s="2"/>
      <c r="V63" s="2"/>
      <c r="W63" s="2"/>
      <c r="X63" s="2"/>
      <c r="Y63" s="2"/>
      <c r="Z63" s="2"/>
      <c r="AA63" s="2"/>
      <c r="AB63" s="2"/>
      <c r="AC63" s="2"/>
      <c r="AD63" s="2"/>
      <c r="AE63" s="2"/>
      <c r="AF63" s="2"/>
      <c r="AG63" s="2"/>
      <c r="AH63" s="2"/>
      <c r="AI63" s="2"/>
      <c r="AJ63" s="2"/>
      <c r="AK63" s="2"/>
      <c r="AL63" s="2"/>
      <c r="AM63" s="2"/>
      <c r="AN63" s="2"/>
      <c r="AO63" s="2"/>
      <c r="AP63" s="2"/>
    </row>
    <row r="64" spans="3:42" ht="15.75" customHeight="1" x14ac:dyDescent="0.3">
      <c r="C64" s="2"/>
      <c r="D64" s="2"/>
      <c r="E64" s="2"/>
      <c r="F64" s="2"/>
      <c r="G64" s="2"/>
      <c r="H64" s="2"/>
      <c r="I64" s="2"/>
      <c r="J64" s="2"/>
      <c r="K64" s="2"/>
      <c r="L64" s="2"/>
      <c r="M64" s="2"/>
      <c r="N64" s="2"/>
      <c r="O64" s="2"/>
      <c r="P64" s="2"/>
      <c r="Q64" s="2"/>
      <c r="R64" s="2"/>
      <c r="S64" s="2"/>
      <c r="T64" s="2"/>
      <c r="U64" s="2"/>
      <c r="V64" s="2"/>
      <c r="W64" s="2"/>
      <c r="X64" s="2"/>
      <c r="Y64" s="2"/>
      <c r="Z64" s="2"/>
      <c r="AA64" s="2"/>
      <c r="AB64" s="2"/>
      <c r="AC64" s="2"/>
      <c r="AD64" s="2"/>
      <c r="AE64" s="2"/>
      <c r="AF64" s="2"/>
      <c r="AG64" s="2"/>
      <c r="AH64" s="2"/>
      <c r="AI64" s="2"/>
      <c r="AJ64" s="2"/>
      <c r="AK64" s="2"/>
      <c r="AL64" s="2"/>
      <c r="AM64" s="2"/>
      <c r="AN64" s="2"/>
      <c r="AO64" s="2"/>
      <c r="AP64" s="2"/>
    </row>
    <row r="65" spans="3:42" ht="15.75" customHeight="1" x14ac:dyDescent="0.3">
      <c r="C65" s="2"/>
      <c r="D65" s="2"/>
      <c r="E65" s="2"/>
      <c r="F65" s="2"/>
      <c r="G65" s="2"/>
      <c r="H65" s="2"/>
      <c r="I65" s="2"/>
      <c r="J65" s="2"/>
      <c r="K65" s="2"/>
      <c r="L65" s="2"/>
      <c r="M65" s="2"/>
      <c r="N65" s="2"/>
      <c r="O65" s="2"/>
      <c r="P65" s="2"/>
      <c r="Q65" s="2"/>
      <c r="R65" s="2"/>
      <c r="S65" s="2"/>
      <c r="T65" s="2"/>
      <c r="U65" s="2"/>
      <c r="V65" s="2"/>
      <c r="W65" s="2"/>
      <c r="X65" s="2"/>
      <c r="Y65" s="2"/>
      <c r="Z65" s="2"/>
      <c r="AA65" s="2"/>
      <c r="AB65" s="2"/>
      <c r="AC65" s="2"/>
      <c r="AD65" s="2"/>
      <c r="AE65" s="2"/>
      <c r="AF65" s="2"/>
      <c r="AG65" s="2"/>
      <c r="AH65" s="2"/>
      <c r="AI65" s="2"/>
      <c r="AJ65" s="2"/>
      <c r="AK65" s="2"/>
      <c r="AL65" s="2"/>
      <c r="AM65" s="2"/>
      <c r="AN65" s="2"/>
      <c r="AO65" s="2"/>
      <c r="AP65" s="2"/>
    </row>
    <row r="66" spans="3:42" ht="15.75" customHeight="1" x14ac:dyDescent="0.3">
      <c r="C66" s="2"/>
      <c r="D66" s="2"/>
      <c r="E66" s="2"/>
      <c r="F66" s="2"/>
      <c r="G66" s="2"/>
      <c r="H66" s="2"/>
      <c r="I66" s="2"/>
      <c r="J66" s="2"/>
      <c r="K66" s="2"/>
      <c r="L66" s="2"/>
      <c r="M66" s="2"/>
      <c r="N66" s="2"/>
      <c r="O66" s="2"/>
      <c r="P66" s="2"/>
      <c r="Q66" s="2"/>
      <c r="R66" s="2"/>
      <c r="S66" s="2"/>
      <c r="T66" s="2"/>
      <c r="U66" s="2"/>
      <c r="V66" s="2"/>
      <c r="W66" s="2"/>
      <c r="X66" s="2"/>
      <c r="Y66" s="2"/>
      <c r="Z66" s="2"/>
      <c r="AA66" s="2"/>
      <c r="AB66" s="2"/>
      <c r="AC66" s="2"/>
      <c r="AD66" s="2"/>
      <c r="AE66" s="2"/>
      <c r="AF66" s="2"/>
      <c r="AG66" s="2"/>
      <c r="AH66" s="2"/>
      <c r="AI66" s="2"/>
      <c r="AJ66" s="2"/>
      <c r="AK66" s="2"/>
      <c r="AL66" s="2"/>
      <c r="AM66" s="2"/>
      <c r="AN66" s="2"/>
      <c r="AO66" s="2"/>
      <c r="AP66" s="2"/>
    </row>
    <row r="67" spans="3:42" ht="15.75" customHeight="1" x14ac:dyDescent="0.3">
      <c r="C67" s="2"/>
      <c r="D67" s="2"/>
      <c r="E67" s="2"/>
      <c r="F67" s="2"/>
      <c r="G67" s="2"/>
      <c r="H67" s="2"/>
      <c r="I67" s="2"/>
      <c r="J67" s="2"/>
      <c r="K67" s="2"/>
      <c r="L67" s="2"/>
      <c r="M67" s="2"/>
      <c r="N67" s="2"/>
      <c r="O67" s="2"/>
      <c r="P67" s="2"/>
      <c r="Q67" s="2"/>
      <c r="R67" s="2"/>
      <c r="S67" s="2"/>
      <c r="T67" s="2"/>
      <c r="U67" s="2"/>
      <c r="V67" s="2"/>
      <c r="W67" s="2"/>
      <c r="X67" s="2"/>
      <c r="Y67" s="2"/>
      <c r="Z67" s="2"/>
      <c r="AA67" s="2"/>
      <c r="AB67" s="2"/>
      <c r="AC67" s="2"/>
      <c r="AD67" s="2"/>
      <c r="AE67" s="2"/>
      <c r="AF67" s="2"/>
      <c r="AG67" s="2"/>
      <c r="AH67" s="2"/>
      <c r="AI67" s="2"/>
      <c r="AJ67" s="2"/>
      <c r="AK67" s="2"/>
      <c r="AL67" s="2"/>
      <c r="AM67" s="2"/>
      <c r="AN67" s="2"/>
      <c r="AO67" s="2"/>
      <c r="AP67" s="2"/>
    </row>
    <row r="68" spans="3:42" ht="15.75" customHeight="1" x14ac:dyDescent="0.3">
      <c r="C68" s="2"/>
      <c r="D68" s="2"/>
      <c r="E68" s="2"/>
      <c r="F68" s="2"/>
      <c r="G68" s="2"/>
      <c r="H68" s="2"/>
      <c r="I68" s="2"/>
      <c r="J68" s="2"/>
      <c r="K68" s="2"/>
      <c r="L68" s="2"/>
      <c r="M68" s="2"/>
      <c r="N68" s="2"/>
      <c r="O68" s="2"/>
      <c r="P68" s="2"/>
      <c r="Q68" s="2"/>
      <c r="R68" s="2"/>
      <c r="S68" s="2"/>
      <c r="T68" s="2"/>
      <c r="U68" s="2"/>
      <c r="V68" s="2"/>
      <c r="W68" s="2"/>
      <c r="X68" s="2"/>
      <c r="Y68" s="2"/>
      <c r="Z68" s="2"/>
      <c r="AA68" s="2"/>
      <c r="AB68" s="2"/>
      <c r="AC68" s="2"/>
      <c r="AD68" s="2"/>
      <c r="AE68" s="2"/>
      <c r="AF68" s="2"/>
      <c r="AG68" s="2"/>
      <c r="AH68" s="2"/>
      <c r="AI68" s="2"/>
      <c r="AJ68" s="2"/>
      <c r="AK68" s="2"/>
      <c r="AL68" s="2"/>
      <c r="AM68" s="2"/>
      <c r="AN68" s="2"/>
      <c r="AO68" s="2"/>
      <c r="AP68" s="2"/>
    </row>
    <row r="69" spans="3:42" ht="15.75" customHeight="1" x14ac:dyDescent="0.3">
      <c r="C69" s="2"/>
      <c r="D69" s="2"/>
      <c r="E69" s="2"/>
      <c r="F69" s="2"/>
      <c r="G69" s="2"/>
      <c r="H69" s="2"/>
      <c r="I69" s="2"/>
      <c r="J69" s="2"/>
      <c r="K69" s="2"/>
      <c r="L69" s="2"/>
      <c r="M69" s="2"/>
      <c r="N69" s="2"/>
      <c r="O69" s="2"/>
      <c r="P69" s="2"/>
      <c r="Q69" s="2"/>
      <c r="R69" s="2"/>
      <c r="S69" s="2"/>
      <c r="T69" s="2"/>
      <c r="U69" s="2"/>
      <c r="V69" s="2"/>
      <c r="W69" s="2"/>
      <c r="X69" s="2"/>
      <c r="Y69" s="2"/>
      <c r="Z69" s="2"/>
      <c r="AA69" s="2"/>
      <c r="AB69" s="2"/>
      <c r="AC69" s="2"/>
      <c r="AD69" s="2"/>
      <c r="AE69" s="2"/>
      <c r="AF69" s="2"/>
      <c r="AG69" s="2"/>
      <c r="AH69" s="2"/>
      <c r="AI69" s="2"/>
      <c r="AJ69" s="2"/>
      <c r="AK69" s="2"/>
      <c r="AL69" s="2"/>
      <c r="AM69" s="2"/>
      <c r="AN69" s="2"/>
      <c r="AO69" s="2"/>
      <c r="AP69" s="2"/>
    </row>
    <row r="70" spans="3:42" ht="15.75" customHeight="1" x14ac:dyDescent="0.3">
      <c r="C70" s="2"/>
      <c r="D70" s="2"/>
      <c r="E70" s="2"/>
      <c r="F70" s="2"/>
      <c r="G70" s="2"/>
      <c r="H70" s="2"/>
      <c r="I70" s="2"/>
      <c r="J70" s="2"/>
      <c r="K70" s="2"/>
      <c r="L70" s="2"/>
      <c r="M70" s="2"/>
      <c r="N70" s="2"/>
      <c r="O70" s="2"/>
      <c r="P70" s="2"/>
      <c r="Q70" s="2"/>
      <c r="R70" s="2"/>
      <c r="S70" s="2"/>
      <c r="T70" s="2"/>
      <c r="U70" s="2"/>
      <c r="V70" s="2"/>
      <c r="W70" s="2"/>
      <c r="X70" s="2"/>
      <c r="Y70" s="2"/>
      <c r="Z70" s="2"/>
      <c r="AA70" s="2"/>
      <c r="AB70" s="2"/>
      <c r="AC70" s="2"/>
      <c r="AD70" s="2"/>
      <c r="AE70" s="2"/>
      <c r="AF70" s="2"/>
      <c r="AG70" s="2"/>
      <c r="AH70" s="2"/>
      <c r="AI70" s="2"/>
      <c r="AJ70" s="2"/>
      <c r="AK70" s="2"/>
      <c r="AL70" s="2"/>
      <c r="AM70" s="2"/>
      <c r="AN70" s="2"/>
      <c r="AO70" s="2"/>
      <c r="AP70" s="2"/>
    </row>
    <row r="71" spans="3:42" ht="15.75" customHeight="1" x14ac:dyDescent="0.3">
      <c r="C71" s="2"/>
      <c r="D71" s="2"/>
      <c r="E71" s="2"/>
      <c r="F71" s="2"/>
      <c r="G71" s="2"/>
      <c r="H71" s="2"/>
      <c r="I71" s="2"/>
      <c r="J71" s="2"/>
      <c r="K71" s="2"/>
      <c r="L71" s="2"/>
      <c r="M71" s="2"/>
      <c r="N71" s="2"/>
      <c r="O71" s="2"/>
      <c r="P71" s="2"/>
      <c r="Q71" s="2"/>
      <c r="R71" s="2"/>
      <c r="S71" s="2"/>
      <c r="T71" s="2"/>
      <c r="U71" s="2"/>
      <c r="V71" s="2"/>
      <c r="W71" s="2"/>
      <c r="X71" s="2"/>
      <c r="Y71" s="2"/>
      <c r="Z71" s="2"/>
      <c r="AA71" s="2"/>
      <c r="AB71" s="2"/>
      <c r="AC71" s="2"/>
      <c r="AD71" s="2"/>
      <c r="AE71" s="2"/>
      <c r="AF71" s="2"/>
      <c r="AG71" s="2"/>
      <c r="AH71" s="2"/>
      <c r="AI71" s="2"/>
      <c r="AJ71" s="2"/>
      <c r="AK71" s="2"/>
      <c r="AL71" s="2"/>
      <c r="AM71" s="2"/>
      <c r="AN71" s="2"/>
      <c r="AO71" s="2"/>
      <c r="AP71" s="2"/>
    </row>
    <row r="72" spans="3:42" ht="15.75" customHeight="1" x14ac:dyDescent="0.3">
      <c r="C72" s="2"/>
      <c r="D72" s="2"/>
      <c r="E72" s="2"/>
      <c r="F72" s="2"/>
      <c r="G72" s="2"/>
      <c r="H72" s="2"/>
      <c r="I72" s="2"/>
      <c r="J72" s="2"/>
      <c r="K72" s="2"/>
      <c r="L72" s="2"/>
      <c r="M72" s="2"/>
      <c r="N72" s="2"/>
      <c r="O72" s="2"/>
      <c r="P72" s="2"/>
      <c r="Q72" s="2"/>
      <c r="R72" s="2"/>
      <c r="S72" s="2"/>
      <c r="T72" s="2"/>
      <c r="U72" s="2"/>
      <c r="V72" s="2"/>
      <c r="W72" s="2"/>
      <c r="X72" s="2"/>
      <c r="Y72" s="2"/>
      <c r="Z72" s="2"/>
      <c r="AA72" s="2"/>
      <c r="AB72" s="2"/>
      <c r="AC72" s="2"/>
      <c r="AD72" s="2"/>
      <c r="AE72" s="2"/>
      <c r="AF72" s="2"/>
      <c r="AG72" s="2"/>
      <c r="AH72" s="2"/>
      <c r="AI72" s="2"/>
      <c r="AJ72" s="2"/>
      <c r="AK72" s="2"/>
      <c r="AL72" s="2"/>
      <c r="AM72" s="2"/>
      <c r="AN72" s="2"/>
      <c r="AO72" s="2"/>
      <c r="AP72" s="2"/>
    </row>
    <row r="73" spans="3:42" ht="15.75" customHeight="1" x14ac:dyDescent="0.3">
      <c r="C73" s="2"/>
      <c r="D73" s="2"/>
      <c r="E73" s="2"/>
      <c r="F73" s="2"/>
      <c r="G73" s="2"/>
      <c r="H73" s="2"/>
      <c r="I73" s="2"/>
      <c r="J73" s="2"/>
      <c r="K73" s="2"/>
      <c r="L73" s="2"/>
      <c r="M73" s="2"/>
      <c r="N73" s="2"/>
      <c r="O73" s="2"/>
      <c r="P73" s="2"/>
      <c r="Q73" s="2"/>
      <c r="R73" s="2"/>
      <c r="S73" s="2"/>
      <c r="T73" s="2"/>
      <c r="U73" s="2"/>
      <c r="V73" s="2"/>
      <c r="W73" s="2"/>
      <c r="X73" s="2"/>
      <c r="Y73" s="2"/>
      <c r="Z73" s="2"/>
      <c r="AA73" s="2"/>
      <c r="AB73" s="2"/>
      <c r="AC73" s="2"/>
      <c r="AD73" s="2"/>
      <c r="AE73" s="2"/>
      <c r="AF73" s="2"/>
      <c r="AG73" s="2"/>
      <c r="AH73" s="2"/>
      <c r="AI73" s="2"/>
      <c r="AJ73" s="2"/>
      <c r="AK73" s="2"/>
      <c r="AL73" s="2"/>
      <c r="AM73" s="2"/>
      <c r="AN73" s="2"/>
      <c r="AO73" s="2"/>
      <c r="AP73" s="2"/>
    </row>
    <row r="74" spans="3:42" ht="15.75" customHeight="1" x14ac:dyDescent="0.3">
      <c r="C74" s="2"/>
      <c r="D74" s="2"/>
      <c r="E74" s="2"/>
      <c r="F74" s="2"/>
      <c r="G74" s="2"/>
      <c r="H74" s="2"/>
      <c r="I74" s="2"/>
      <c r="J74" s="2"/>
      <c r="K74" s="2"/>
      <c r="L74" s="2"/>
      <c r="M74" s="2"/>
      <c r="N74" s="2"/>
      <c r="O74" s="2"/>
      <c r="P74" s="2"/>
      <c r="Q74" s="2"/>
      <c r="R74" s="2"/>
      <c r="S74" s="2"/>
      <c r="T74" s="2"/>
      <c r="U74" s="2"/>
      <c r="V74" s="2"/>
      <c r="W74" s="2"/>
      <c r="X74" s="2"/>
      <c r="Y74" s="2"/>
      <c r="Z74" s="2"/>
      <c r="AA74" s="2"/>
      <c r="AB74" s="2"/>
      <c r="AC74" s="2"/>
      <c r="AD74" s="2"/>
      <c r="AE74" s="2"/>
      <c r="AF74" s="2"/>
      <c r="AG74" s="2"/>
      <c r="AH74" s="2"/>
      <c r="AI74" s="2"/>
      <c r="AJ74" s="2"/>
      <c r="AK74" s="2"/>
      <c r="AL74" s="2"/>
      <c r="AM74" s="2"/>
      <c r="AN74" s="2"/>
      <c r="AO74" s="2"/>
      <c r="AP74" s="2"/>
    </row>
    <row r="75" spans="3:42" ht="15.75" customHeight="1" x14ac:dyDescent="0.3">
      <c r="C75" s="2"/>
      <c r="D75" s="2"/>
      <c r="E75" s="2"/>
      <c r="F75" s="2"/>
      <c r="G75" s="2"/>
      <c r="H75" s="2"/>
      <c r="I75" s="2"/>
      <c r="J75" s="2"/>
      <c r="K75" s="2"/>
      <c r="L75" s="2"/>
      <c r="M75" s="2"/>
      <c r="N75" s="2"/>
      <c r="O75" s="2"/>
      <c r="P75" s="2"/>
      <c r="Q75" s="2"/>
      <c r="R75" s="2"/>
      <c r="S75" s="2"/>
      <c r="T75" s="2"/>
      <c r="U75" s="2"/>
      <c r="V75" s="2"/>
      <c r="W75" s="2"/>
      <c r="X75" s="2"/>
      <c r="Y75" s="2"/>
      <c r="Z75" s="2"/>
      <c r="AA75" s="2"/>
      <c r="AB75" s="2"/>
      <c r="AC75" s="2"/>
      <c r="AD75" s="2"/>
      <c r="AE75" s="2"/>
      <c r="AF75" s="2"/>
      <c r="AG75" s="2"/>
      <c r="AH75" s="2"/>
      <c r="AI75" s="2"/>
      <c r="AJ75" s="2"/>
      <c r="AK75" s="2"/>
      <c r="AL75" s="2"/>
      <c r="AM75" s="2"/>
      <c r="AN75" s="2"/>
      <c r="AO75" s="2"/>
      <c r="AP75" s="2"/>
    </row>
    <row r="76" spans="3:42" ht="15.75" customHeight="1" x14ac:dyDescent="0.3">
      <c r="C76" s="2"/>
      <c r="D76" s="2"/>
      <c r="E76" s="2"/>
      <c r="F76" s="2"/>
      <c r="G76" s="2"/>
      <c r="H76" s="2"/>
      <c r="I76" s="2"/>
      <c r="J76" s="2"/>
      <c r="K76" s="2"/>
      <c r="L76" s="2"/>
      <c r="M76" s="2"/>
      <c r="N76" s="2"/>
      <c r="O76" s="2"/>
      <c r="P76" s="2"/>
      <c r="Q76" s="2"/>
      <c r="R76" s="2"/>
      <c r="S76" s="2"/>
      <c r="T76" s="2"/>
      <c r="U76" s="2"/>
      <c r="V76" s="2"/>
      <c r="W76" s="2"/>
      <c r="X76" s="2"/>
      <c r="Y76" s="2"/>
      <c r="Z76" s="2"/>
      <c r="AA76" s="2"/>
      <c r="AB76" s="2"/>
      <c r="AC76" s="2"/>
      <c r="AD76" s="2"/>
      <c r="AE76" s="2"/>
      <c r="AF76" s="2"/>
      <c r="AG76" s="2"/>
      <c r="AH76" s="2"/>
      <c r="AI76" s="2"/>
      <c r="AJ76" s="2"/>
      <c r="AK76" s="2"/>
      <c r="AL76" s="2"/>
      <c r="AM76" s="2"/>
      <c r="AN76" s="2"/>
      <c r="AO76" s="2"/>
      <c r="AP76" s="2"/>
    </row>
    <row r="77" spans="3:42" ht="15.75" customHeight="1" x14ac:dyDescent="0.3">
      <c r="C77" s="2"/>
      <c r="D77" s="2"/>
      <c r="E77" s="2"/>
      <c r="F77" s="2"/>
      <c r="G77" s="2"/>
      <c r="H77" s="2"/>
      <c r="I77" s="2"/>
      <c r="J77" s="2"/>
      <c r="K77" s="2"/>
      <c r="L77" s="2"/>
      <c r="M77" s="2"/>
      <c r="N77" s="2"/>
      <c r="O77" s="2"/>
      <c r="P77" s="2"/>
      <c r="Q77" s="2"/>
      <c r="R77" s="2"/>
      <c r="S77" s="2"/>
      <c r="T77" s="2"/>
      <c r="U77" s="2"/>
      <c r="V77" s="2"/>
      <c r="W77" s="2"/>
      <c r="X77" s="2"/>
      <c r="Y77" s="2"/>
      <c r="Z77" s="2"/>
      <c r="AA77" s="2"/>
      <c r="AB77" s="2"/>
      <c r="AC77" s="2"/>
      <c r="AD77" s="2"/>
      <c r="AE77" s="2"/>
      <c r="AF77" s="2"/>
      <c r="AG77" s="2"/>
      <c r="AH77" s="2"/>
      <c r="AI77" s="2"/>
      <c r="AJ77" s="2"/>
      <c r="AK77" s="2"/>
      <c r="AL77" s="2"/>
      <c r="AM77" s="2"/>
      <c r="AN77" s="2"/>
      <c r="AO77" s="2"/>
      <c r="AP77" s="2"/>
    </row>
    <row r="78" spans="3:42" ht="15.75" customHeight="1" x14ac:dyDescent="0.3">
      <c r="C78" s="2"/>
      <c r="D78" s="2"/>
      <c r="E78" s="2"/>
      <c r="F78" s="2"/>
      <c r="G78" s="2"/>
      <c r="H78" s="2"/>
      <c r="I78" s="2"/>
      <c r="J78" s="2"/>
      <c r="K78" s="2"/>
      <c r="L78" s="2"/>
      <c r="M78" s="2"/>
      <c r="N78" s="2"/>
      <c r="O78" s="2"/>
      <c r="P78" s="2"/>
      <c r="Q78" s="2"/>
      <c r="R78" s="2"/>
      <c r="S78" s="2"/>
      <c r="T78" s="2"/>
      <c r="U78" s="2"/>
      <c r="V78" s="2"/>
      <c r="W78" s="2"/>
      <c r="X78" s="2"/>
      <c r="Y78" s="2"/>
      <c r="Z78" s="2"/>
      <c r="AA78" s="2"/>
      <c r="AB78" s="2"/>
      <c r="AC78" s="2"/>
      <c r="AD78" s="2"/>
      <c r="AE78" s="2"/>
      <c r="AF78" s="2"/>
      <c r="AG78" s="2"/>
      <c r="AH78" s="2"/>
      <c r="AI78" s="2"/>
      <c r="AJ78" s="2"/>
      <c r="AK78" s="2"/>
      <c r="AL78" s="2"/>
      <c r="AM78" s="2"/>
      <c r="AN78" s="2"/>
      <c r="AO78" s="2"/>
      <c r="AP78" s="2"/>
    </row>
    <row r="79" spans="3:42" ht="15.75" customHeight="1" x14ac:dyDescent="0.3">
      <c r="C79" s="2"/>
      <c r="D79" s="2"/>
      <c r="E79" s="2"/>
      <c r="F79" s="2"/>
      <c r="G79" s="2"/>
      <c r="H79" s="2"/>
      <c r="I79" s="2"/>
      <c r="J79" s="2"/>
      <c r="K79" s="2"/>
      <c r="L79" s="2"/>
      <c r="M79" s="2"/>
      <c r="N79" s="2"/>
      <c r="O79" s="2"/>
      <c r="P79" s="2"/>
      <c r="Q79" s="2"/>
      <c r="R79" s="2"/>
      <c r="S79" s="2"/>
      <c r="T79" s="2"/>
      <c r="U79" s="2"/>
      <c r="V79" s="2"/>
      <c r="W79" s="2"/>
      <c r="X79" s="2"/>
      <c r="Y79" s="2"/>
      <c r="Z79" s="2"/>
      <c r="AA79" s="2"/>
      <c r="AB79" s="2"/>
      <c r="AC79" s="2"/>
      <c r="AD79" s="2"/>
      <c r="AE79" s="2"/>
      <c r="AF79" s="2"/>
      <c r="AG79" s="2"/>
      <c r="AH79" s="2"/>
      <c r="AI79" s="2"/>
      <c r="AJ79" s="2"/>
      <c r="AK79" s="2"/>
      <c r="AL79" s="2"/>
      <c r="AM79" s="2"/>
      <c r="AN79" s="2"/>
      <c r="AO79" s="2"/>
      <c r="AP79" s="2"/>
    </row>
    <row r="80" spans="3:42" ht="15.75" customHeight="1" x14ac:dyDescent="0.3">
      <c r="C80" s="2"/>
      <c r="D80" s="2"/>
      <c r="E80" s="2"/>
      <c r="F80" s="2"/>
      <c r="G80" s="2"/>
      <c r="H80" s="2"/>
      <c r="I80" s="2"/>
      <c r="J80" s="2"/>
      <c r="K80" s="2"/>
      <c r="L80" s="2"/>
      <c r="M80" s="2"/>
      <c r="N80" s="2"/>
      <c r="O80" s="2"/>
      <c r="P80" s="2"/>
      <c r="Q80" s="2"/>
      <c r="R80" s="2"/>
      <c r="S80" s="2"/>
      <c r="T80" s="2"/>
      <c r="U80" s="2"/>
      <c r="V80" s="2"/>
      <c r="W80" s="2"/>
      <c r="X80" s="2"/>
      <c r="Y80" s="2"/>
      <c r="Z80" s="2"/>
      <c r="AA80" s="2"/>
      <c r="AB80" s="2"/>
      <c r="AC80" s="2"/>
      <c r="AD80" s="2"/>
      <c r="AE80" s="2"/>
      <c r="AF80" s="2"/>
      <c r="AG80" s="2"/>
      <c r="AH80" s="2"/>
      <c r="AI80" s="2"/>
      <c r="AJ80" s="2"/>
      <c r="AK80" s="2"/>
      <c r="AL80" s="2"/>
      <c r="AM80" s="2"/>
      <c r="AN80" s="2"/>
      <c r="AO80" s="2"/>
      <c r="AP80" s="2"/>
    </row>
    <row r="81" spans="3:42" ht="15.75" customHeight="1" x14ac:dyDescent="0.3">
      <c r="C81" s="2"/>
      <c r="D81" s="2"/>
      <c r="E81" s="2"/>
      <c r="F81" s="2"/>
      <c r="G81" s="2"/>
      <c r="H81" s="2"/>
      <c r="I81" s="2"/>
      <c r="J81" s="2"/>
      <c r="K81" s="2"/>
      <c r="L81" s="2"/>
      <c r="M81" s="2"/>
      <c r="N81" s="2"/>
      <c r="O81" s="2"/>
      <c r="P81" s="2"/>
      <c r="Q81" s="2"/>
      <c r="R81" s="2"/>
      <c r="S81" s="2"/>
      <c r="T81" s="2"/>
      <c r="U81" s="2"/>
      <c r="V81" s="2"/>
      <c r="W81" s="2"/>
      <c r="X81" s="2"/>
      <c r="Y81" s="2"/>
      <c r="Z81" s="2"/>
      <c r="AA81" s="2"/>
      <c r="AB81" s="2"/>
      <c r="AC81" s="2"/>
      <c r="AD81" s="2"/>
      <c r="AE81" s="2"/>
      <c r="AF81" s="2"/>
      <c r="AG81" s="2"/>
      <c r="AH81" s="2"/>
      <c r="AI81" s="2"/>
      <c r="AJ81" s="2"/>
      <c r="AK81" s="2"/>
      <c r="AL81" s="2"/>
      <c r="AM81" s="2"/>
      <c r="AN81" s="2"/>
      <c r="AO81" s="2"/>
      <c r="AP81" s="2"/>
    </row>
    <row r="82" spans="3:42" ht="15.75" customHeight="1" x14ac:dyDescent="0.3">
      <c r="C82" s="2"/>
      <c r="D82" s="2"/>
      <c r="E82" s="2"/>
      <c r="F82" s="2"/>
      <c r="G82" s="2"/>
      <c r="H82" s="2"/>
      <c r="I82" s="2"/>
      <c r="J82" s="2"/>
      <c r="K82" s="2"/>
      <c r="L82" s="2"/>
      <c r="M82" s="2"/>
      <c r="N82" s="2"/>
      <c r="O82" s="2"/>
      <c r="P82" s="2"/>
      <c r="Q82" s="2"/>
      <c r="R82" s="2"/>
      <c r="S82" s="2"/>
      <c r="T82" s="2"/>
      <c r="U82" s="2"/>
      <c r="V82" s="2"/>
      <c r="W82" s="2"/>
      <c r="X82" s="2"/>
      <c r="Y82" s="2"/>
      <c r="Z82" s="2"/>
      <c r="AA82" s="2"/>
      <c r="AB82" s="2"/>
      <c r="AC82" s="2"/>
      <c r="AD82" s="2"/>
      <c r="AE82" s="2"/>
      <c r="AF82" s="2"/>
      <c r="AG82" s="2"/>
      <c r="AH82" s="2"/>
      <c r="AI82" s="2"/>
      <c r="AJ82" s="2"/>
      <c r="AK82" s="2"/>
      <c r="AL82" s="2"/>
      <c r="AM82" s="2"/>
      <c r="AN82" s="2"/>
      <c r="AO82" s="2"/>
      <c r="AP82" s="2"/>
    </row>
    <row r="83" spans="3:42" ht="15.75" customHeight="1" x14ac:dyDescent="0.3">
      <c r="C83" s="2"/>
      <c r="D83" s="2"/>
      <c r="E83" s="2"/>
      <c r="F83" s="2"/>
      <c r="G83" s="2"/>
      <c r="H83" s="2"/>
      <c r="I83" s="2"/>
      <c r="J83" s="2"/>
      <c r="K83" s="2"/>
      <c r="L83" s="2"/>
      <c r="M83" s="2"/>
      <c r="N83" s="2"/>
      <c r="O83" s="2"/>
      <c r="P83" s="2"/>
      <c r="Q83" s="2"/>
      <c r="R83" s="2"/>
      <c r="S83" s="2"/>
      <c r="T83" s="2"/>
      <c r="U83" s="2"/>
      <c r="V83" s="2"/>
      <c r="W83" s="2"/>
      <c r="X83" s="2"/>
      <c r="Y83" s="2"/>
      <c r="Z83" s="2"/>
      <c r="AA83" s="2"/>
      <c r="AB83" s="2"/>
      <c r="AC83" s="2"/>
      <c r="AD83" s="2"/>
      <c r="AE83" s="2"/>
      <c r="AF83" s="2"/>
      <c r="AG83" s="2"/>
      <c r="AH83" s="2"/>
      <c r="AI83" s="2"/>
      <c r="AJ83" s="2"/>
      <c r="AK83" s="2"/>
      <c r="AL83" s="2"/>
      <c r="AM83" s="2"/>
      <c r="AN83" s="2"/>
      <c r="AO83" s="2"/>
      <c r="AP83" s="2"/>
    </row>
    <row r="84" spans="3:42" ht="15.75" customHeight="1" x14ac:dyDescent="0.3">
      <c r="C84" s="2"/>
      <c r="D84" s="2"/>
      <c r="E84" s="2"/>
      <c r="F84" s="2"/>
      <c r="G84" s="2"/>
      <c r="H84" s="2"/>
      <c r="I84" s="2"/>
      <c r="J84" s="2"/>
      <c r="K84" s="2"/>
      <c r="L84" s="2"/>
      <c r="M84" s="2"/>
      <c r="N84" s="2"/>
      <c r="O84" s="2"/>
      <c r="P84" s="2"/>
      <c r="Q84" s="2"/>
      <c r="R84" s="2"/>
      <c r="S84" s="2"/>
      <c r="T84" s="2"/>
      <c r="U84" s="2"/>
      <c r="V84" s="2"/>
      <c r="W84" s="2"/>
      <c r="X84" s="2"/>
      <c r="Y84" s="2"/>
      <c r="Z84" s="2"/>
      <c r="AA84" s="2"/>
      <c r="AB84" s="2"/>
      <c r="AC84" s="2"/>
      <c r="AD84" s="2"/>
      <c r="AE84" s="2"/>
      <c r="AF84" s="2"/>
      <c r="AG84" s="2"/>
      <c r="AH84" s="2"/>
      <c r="AI84" s="2"/>
      <c r="AJ84" s="2"/>
      <c r="AK84" s="2"/>
      <c r="AL84" s="2"/>
      <c r="AM84" s="2"/>
      <c r="AN84" s="2"/>
      <c r="AO84" s="2"/>
      <c r="AP84" s="2"/>
    </row>
    <row r="85" spans="3:42" ht="15.75" customHeight="1" x14ac:dyDescent="0.3">
      <c r="C85" s="2"/>
      <c r="D85" s="2"/>
      <c r="E85" s="2"/>
      <c r="F85" s="2"/>
      <c r="G85" s="2"/>
      <c r="H85" s="2"/>
      <c r="I85" s="2"/>
      <c r="J85" s="2"/>
      <c r="K85" s="2"/>
      <c r="L85" s="2"/>
      <c r="M85" s="2"/>
      <c r="N85" s="2"/>
      <c r="O85" s="2"/>
      <c r="P85" s="2"/>
      <c r="Q85" s="2"/>
      <c r="R85" s="2"/>
      <c r="S85" s="2"/>
      <c r="T85" s="2"/>
      <c r="U85" s="2"/>
      <c r="V85" s="2"/>
      <c r="W85" s="2"/>
      <c r="X85" s="2"/>
      <c r="Y85" s="2"/>
      <c r="Z85" s="2"/>
      <c r="AA85" s="2"/>
      <c r="AB85" s="2"/>
      <c r="AC85" s="2"/>
      <c r="AD85" s="2"/>
      <c r="AE85" s="2"/>
      <c r="AF85" s="2"/>
      <c r="AG85" s="2"/>
      <c r="AH85" s="2"/>
      <c r="AI85" s="2"/>
      <c r="AJ85" s="2"/>
      <c r="AK85" s="2"/>
      <c r="AL85" s="2"/>
      <c r="AM85" s="2"/>
      <c r="AN85" s="2"/>
      <c r="AO85" s="2"/>
      <c r="AP85" s="2"/>
    </row>
    <row r="86" spans="3:42" ht="15.75" customHeight="1" x14ac:dyDescent="0.3">
      <c r="C86" s="2"/>
      <c r="D86" s="2"/>
      <c r="E86" s="2"/>
      <c r="F86" s="2"/>
      <c r="G86" s="2"/>
      <c r="H86" s="2"/>
      <c r="I86" s="2"/>
      <c r="J86" s="2"/>
      <c r="K86" s="2"/>
      <c r="L86" s="2"/>
      <c r="M86" s="2"/>
      <c r="N86" s="2"/>
      <c r="O86" s="2"/>
      <c r="P86" s="2"/>
      <c r="Q86" s="2"/>
      <c r="R86" s="2"/>
      <c r="S86" s="2"/>
      <c r="T86" s="2"/>
      <c r="U86" s="2"/>
      <c r="V86" s="2"/>
      <c r="W86" s="2"/>
      <c r="X86" s="2"/>
      <c r="Y86" s="2"/>
      <c r="Z86" s="2"/>
      <c r="AA86" s="2"/>
      <c r="AB86" s="2"/>
      <c r="AC86" s="2"/>
      <c r="AD86" s="2"/>
      <c r="AE86" s="2"/>
      <c r="AF86" s="2"/>
      <c r="AG86" s="2"/>
      <c r="AH86" s="2"/>
      <c r="AI86" s="2"/>
      <c r="AJ86" s="2"/>
      <c r="AK86" s="2"/>
      <c r="AL86" s="2"/>
      <c r="AM86" s="2"/>
      <c r="AN86" s="2"/>
      <c r="AO86" s="2"/>
      <c r="AP86" s="2"/>
    </row>
    <row r="87" spans="3:42" ht="15.75" customHeight="1" x14ac:dyDescent="0.3">
      <c r="C87" s="2"/>
      <c r="D87" s="2"/>
      <c r="E87" s="2"/>
      <c r="F87" s="2"/>
      <c r="G87" s="2"/>
      <c r="H87" s="2"/>
      <c r="I87" s="2"/>
      <c r="J87" s="2"/>
      <c r="K87" s="2"/>
      <c r="L87" s="2"/>
      <c r="M87" s="2"/>
      <c r="N87" s="2"/>
      <c r="O87" s="2"/>
      <c r="P87" s="2"/>
      <c r="Q87" s="2"/>
      <c r="R87" s="2"/>
      <c r="S87" s="2"/>
      <c r="T87" s="2"/>
      <c r="U87" s="2"/>
      <c r="V87" s="2"/>
      <c r="W87" s="2"/>
      <c r="X87" s="2"/>
      <c r="Y87" s="2"/>
      <c r="Z87" s="2"/>
      <c r="AA87" s="2"/>
      <c r="AB87" s="2"/>
      <c r="AC87" s="2"/>
      <c r="AD87" s="2"/>
      <c r="AE87" s="2"/>
      <c r="AF87" s="2"/>
      <c r="AG87" s="2"/>
      <c r="AH87" s="2"/>
      <c r="AI87" s="2"/>
      <c r="AJ87" s="2"/>
      <c r="AK87" s="2"/>
      <c r="AL87" s="2"/>
      <c r="AM87" s="2"/>
      <c r="AN87" s="2"/>
      <c r="AO87" s="2"/>
      <c r="AP87" s="2"/>
    </row>
    <row r="88" spans="3:42" ht="15.75" customHeight="1" x14ac:dyDescent="0.3">
      <c r="C88" s="2"/>
      <c r="D88" s="2"/>
      <c r="E88" s="2"/>
      <c r="F88" s="2"/>
      <c r="G88" s="2"/>
      <c r="H88" s="2"/>
      <c r="I88" s="2"/>
      <c r="J88" s="2"/>
      <c r="K88" s="2"/>
      <c r="L88" s="2"/>
      <c r="M88" s="2"/>
      <c r="N88" s="2"/>
      <c r="O88" s="2"/>
      <c r="P88" s="2"/>
      <c r="Q88" s="2"/>
      <c r="R88" s="2"/>
      <c r="S88" s="2"/>
      <c r="T88" s="2"/>
      <c r="U88" s="2"/>
      <c r="V88" s="2"/>
      <c r="W88" s="2"/>
      <c r="X88" s="2"/>
      <c r="Y88" s="2"/>
      <c r="Z88" s="2"/>
      <c r="AA88" s="2"/>
      <c r="AB88" s="2"/>
      <c r="AC88" s="2"/>
      <c r="AD88" s="2"/>
      <c r="AE88" s="2"/>
      <c r="AF88" s="2"/>
      <c r="AG88" s="2"/>
      <c r="AH88" s="2"/>
      <c r="AI88" s="2"/>
      <c r="AJ88" s="2"/>
      <c r="AK88" s="2"/>
      <c r="AL88" s="2"/>
      <c r="AM88" s="2"/>
      <c r="AN88" s="2"/>
      <c r="AO88" s="2"/>
      <c r="AP88" s="2"/>
    </row>
    <row r="89" spans="3:42" ht="15.75" customHeight="1" x14ac:dyDescent="0.3">
      <c r="C89" s="2"/>
      <c r="D89" s="2"/>
      <c r="E89" s="2"/>
      <c r="F89" s="2"/>
      <c r="G89" s="2"/>
      <c r="H89" s="2"/>
      <c r="I89" s="2"/>
      <c r="J89" s="2"/>
      <c r="K89" s="2"/>
      <c r="L89" s="2"/>
      <c r="M89" s="2"/>
      <c r="N89" s="2"/>
      <c r="O89" s="2"/>
      <c r="P89" s="2"/>
      <c r="Q89" s="2"/>
      <c r="R89" s="2"/>
      <c r="S89" s="2"/>
      <c r="T89" s="2"/>
      <c r="U89" s="2"/>
      <c r="V89" s="2"/>
      <c r="W89" s="2"/>
      <c r="X89" s="2"/>
      <c r="Y89" s="2"/>
      <c r="Z89" s="2"/>
      <c r="AA89" s="2"/>
      <c r="AB89" s="2"/>
      <c r="AC89" s="2"/>
      <c r="AD89" s="2"/>
      <c r="AE89" s="2"/>
      <c r="AF89" s="2"/>
      <c r="AG89" s="2"/>
      <c r="AH89" s="2"/>
      <c r="AI89" s="2"/>
      <c r="AJ89" s="2"/>
      <c r="AK89" s="2"/>
      <c r="AL89" s="2"/>
      <c r="AM89" s="2"/>
      <c r="AN89" s="2"/>
      <c r="AO89" s="2"/>
      <c r="AP89" s="2"/>
    </row>
    <row r="90" spans="3:42" ht="15.75" customHeight="1" x14ac:dyDescent="0.3">
      <c r="C90" s="2"/>
      <c r="D90" s="2"/>
      <c r="E90" s="2"/>
      <c r="F90" s="2"/>
      <c r="G90" s="2"/>
      <c r="H90" s="2"/>
      <c r="I90" s="2"/>
      <c r="J90" s="2"/>
      <c r="K90" s="2"/>
      <c r="L90" s="2"/>
      <c r="M90" s="2"/>
      <c r="N90" s="2"/>
      <c r="O90" s="2"/>
      <c r="P90" s="2"/>
      <c r="Q90" s="2"/>
      <c r="R90" s="2"/>
      <c r="S90" s="2"/>
      <c r="T90" s="2"/>
      <c r="U90" s="2"/>
      <c r="V90" s="2"/>
      <c r="W90" s="2"/>
      <c r="X90" s="2"/>
      <c r="Y90" s="2"/>
      <c r="Z90" s="2"/>
      <c r="AA90" s="2"/>
      <c r="AB90" s="2"/>
      <c r="AC90" s="2"/>
      <c r="AD90" s="2"/>
      <c r="AE90" s="2"/>
      <c r="AF90" s="2"/>
      <c r="AG90" s="2"/>
      <c r="AH90" s="2"/>
      <c r="AI90" s="2"/>
      <c r="AJ90" s="2"/>
      <c r="AK90" s="2"/>
      <c r="AL90" s="2"/>
      <c r="AM90" s="2"/>
      <c r="AN90" s="2"/>
      <c r="AO90" s="2"/>
      <c r="AP90" s="2"/>
    </row>
    <row r="91" spans="3:42" ht="15.75" customHeight="1" x14ac:dyDescent="0.3">
      <c r="C91" s="2"/>
      <c r="D91" s="2"/>
      <c r="E91" s="2"/>
      <c r="F91" s="2"/>
      <c r="G91" s="2"/>
      <c r="H91" s="2"/>
      <c r="I91" s="2"/>
      <c r="J91" s="2"/>
      <c r="K91" s="2"/>
      <c r="L91" s="2"/>
      <c r="M91" s="2"/>
      <c r="N91" s="2"/>
      <c r="O91" s="2"/>
      <c r="P91" s="2"/>
      <c r="Q91" s="2"/>
      <c r="R91" s="2"/>
      <c r="S91" s="2"/>
      <c r="T91" s="2"/>
      <c r="U91" s="2"/>
      <c r="V91" s="2"/>
      <c r="W91" s="2"/>
      <c r="X91" s="2"/>
      <c r="Y91" s="2"/>
      <c r="Z91" s="2"/>
      <c r="AA91" s="2"/>
      <c r="AB91" s="2"/>
      <c r="AC91" s="2"/>
      <c r="AD91" s="2"/>
      <c r="AE91" s="2"/>
      <c r="AF91" s="2"/>
      <c r="AG91" s="2"/>
      <c r="AH91" s="2"/>
      <c r="AI91" s="2"/>
      <c r="AJ91" s="2"/>
      <c r="AK91" s="2"/>
      <c r="AL91" s="2"/>
      <c r="AM91" s="2"/>
      <c r="AN91" s="2"/>
      <c r="AO91" s="2"/>
      <c r="AP91" s="2"/>
    </row>
    <row r="92" spans="3:42" ht="15.75" customHeight="1" x14ac:dyDescent="0.3">
      <c r="C92" s="2"/>
      <c r="D92" s="2"/>
      <c r="E92" s="2"/>
      <c r="F92" s="2"/>
      <c r="G92" s="2"/>
      <c r="H92" s="2"/>
      <c r="I92" s="2"/>
      <c r="J92" s="2"/>
      <c r="K92" s="2"/>
      <c r="L92" s="2"/>
      <c r="M92" s="2"/>
      <c r="N92" s="2"/>
      <c r="O92" s="2"/>
      <c r="P92" s="2"/>
      <c r="Q92" s="2"/>
      <c r="R92" s="2"/>
      <c r="S92" s="2"/>
      <c r="T92" s="2"/>
      <c r="U92" s="2"/>
      <c r="V92" s="2"/>
      <c r="W92" s="2"/>
      <c r="X92" s="2"/>
      <c r="Y92" s="2"/>
      <c r="Z92" s="2"/>
      <c r="AA92" s="2"/>
      <c r="AB92" s="2"/>
      <c r="AC92" s="2"/>
      <c r="AD92" s="2"/>
      <c r="AE92" s="2"/>
      <c r="AF92" s="2"/>
      <c r="AG92" s="2"/>
      <c r="AH92" s="2"/>
      <c r="AI92" s="2"/>
      <c r="AJ92" s="2"/>
      <c r="AK92" s="2"/>
      <c r="AL92" s="2"/>
      <c r="AM92" s="2"/>
      <c r="AN92" s="2"/>
      <c r="AO92" s="2"/>
      <c r="AP92" s="2"/>
    </row>
    <row r="93" spans="3:42" ht="15.75" customHeight="1" x14ac:dyDescent="0.3">
      <c r="C93" s="2"/>
      <c r="D93" s="2"/>
      <c r="E93" s="2"/>
      <c r="F93" s="2"/>
      <c r="G93" s="2"/>
      <c r="H93" s="2"/>
      <c r="I93" s="2"/>
      <c r="J93" s="2"/>
      <c r="K93" s="2"/>
      <c r="L93" s="2"/>
      <c r="M93" s="2"/>
      <c r="N93" s="2"/>
      <c r="O93" s="2"/>
      <c r="P93" s="2"/>
      <c r="Q93" s="2"/>
      <c r="R93" s="2"/>
      <c r="S93" s="2"/>
      <c r="T93" s="2"/>
      <c r="U93" s="2"/>
      <c r="V93" s="2"/>
      <c r="W93" s="2"/>
      <c r="X93" s="2"/>
      <c r="Y93" s="2"/>
      <c r="Z93" s="2"/>
      <c r="AA93" s="2"/>
      <c r="AB93" s="2"/>
      <c r="AC93" s="2"/>
      <c r="AD93" s="2"/>
      <c r="AE93" s="2"/>
      <c r="AF93" s="2"/>
      <c r="AG93" s="2"/>
      <c r="AH93" s="2"/>
      <c r="AI93" s="2"/>
      <c r="AJ93" s="2"/>
      <c r="AK93" s="2"/>
      <c r="AL93" s="2"/>
      <c r="AM93" s="2"/>
      <c r="AN93" s="2"/>
      <c r="AO93" s="2"/>
      <c r="AP93" s="2"/>
    </row>
    <row r="94" spans="3:42" ht="15.75" customHeight="1" x14ac:dyDescent="0.3">
      <c r="C94" s="2"/>
      <c r="D94" s="2"/>
      <c r="E94" s="2"/>
      <c r="F94" s="2"/>
      <c r="G94" s="2"/>
      <c r="H94" s="2"/>
      <c r="I94" s="2"/>
      <c r="J94" s="2"/>
      <c r="K94" s="2"/>
      <c r="L94" s="2"/>
      <c r="M94" s="2"/>
      <c r="N94" s="2"/>
      <c r="O94" s="2"/>
      <c r="P94" s="2"/>
      <c r="Q94" s="2"/>
      <c r="R94" s="2"/>
      <c r="S94" s="2"/>
      <c r="T94" s="2"/>
      <c r="U94" s="2"/>
      <c r="V94" s="2"/>
      <c r="W94" s="2"/>
      <c r="X94" s="2"/>
      <c r="Y94" s="2"/>
      <c r="Z94" s="2"/>
      <c r="AA94" s="2"/>
      <c r="AB94" s="2"/>
      <c r="AC94" s="2"/>
      <c r="AD94" s="2"/>
      <c r="AE94" s="2"/>
      <c r="AF94" s="2"/>
      <c r="AG94" s="2"/>
      <c r="AH94" s="2"/>
      <c r="AI94" s="2"/>
      <c r="AJ94" s="2"/>
      <c r="AK94" s="2"/>
      <c r="AL94" s="2"/>
      <c r="AM94" s="2"/>
      <c r="AN94" s="2"/>
      <c r="AO94" s="2"/>
      <c r="AP94" s="2"/>
    </row>
    <row r="95" spans="3:42" ht="15.75" customHeight="1" x14ac:dyDescent="0.3">
      <c r="C95" s="2"/>
      <c r="D95" s="2"/>
      <c r="E95" s="2"/>
      <c r="F95" s="2"/>
      <c r="G95" s="2"/>
      <c r="H95" s="2"/>
      <c r="I95" s="2"/>
      <c r="J95" s="2"/>
      <c r="K95" s="2"/>
      <c r="L95" s="2"/>
      <c r="M95" s="2"/>
      <c r="N95" s="2"/>
      <c r="O95" s="2"/>
      <c r="P95" s="2"/>
      <c r="Q95" s="2"/>
      <c r="R95" s="2"/>
      <c r="S95" s="2"/>
      <c r="T95" s="2"/>
      <c r="U95" s="2"/>
      <c r="V95" s="2"/>
      <c r="W95" s="2"/>
      <c r="X95" s="2"/>
      <c r="Y95" s="2"/>
      <c r="Z95" s="2"/>
      <c r="AA95" s="2"/>
      <c r="AB95" s="2"/>
      <c r="AC95" s="2"/>
      <c r="AD95" s="2"/>
      <c r="AE95" s="2"/>
      <c r="AF95" s="2"/>
      <c r="AG95" s="2"/>
      <c r="AH95" s="2"/>
      <c r="AI95" s="2"/>
      <c r="AJ95" s="2"/>
      <c r="AK95" s="2"/>
      <c r="AL95" s="2"/>
      <c r="AM95" s="2"/>
      <c r="AN95" s="2"/>
      <c r="AO95" s="2"/>
      <c r="AP95" s="2"/>
    </row>
    <row r="96" spans="3:42" ht="15.75" customHeight="1" x14ac:dyDescent="0.3">
      <c r="C96" s="2"/>
      <c r="D96" s="2"/>
      <c r="E96" s="2"/>
      <c r="F96" s="2"/>
      <c r="G96" s="2"/>
      <c r="H96" s="2"/>
      <c r="I96" s="2"/>
      <c r="J96" s="2"/>
      <c r="K96" s="2"/>
      <c r="L96" s="2"/>
      <c r="M96" s="2"/>
      <c r="N96" s="2"/>
      <c r="O96" s="2"/>
      <c r="P96" s="2"/>
      <c r="Q96" s="2"/>
      <c r="R96" s="2"/>
      <c r="S96" s="2"/>
      <c r="T96" s="2"/>
      <c r="U96" s="2"/>
      <c r="V96" s="2"/>
      <c r="W96" s="2"/>
      <c r="X96" s="2"/>
      <c r="Y96" s="2"/>
      <c r="Z96" s="2"/>
      <c r="AA96" s="2"/>
      <c r="AB96" s="2"/>
      <c r="AC96" s="2"/>
      <c r="AD96" s="2"/>
      <c r="AE96" s="2"/>
      <c r="AF96" s="2"/>
      <c r="AG96" s="2"/>
      <c r="AH96" s="2"/>
      <c r="AI96" s="2"/>
      <c r="AJ96" s="2"/>
      <c r="AK96" s="2"/>
      <c r="AL96" s="2"/>
      <c r="AM96" s="2"/>
      <c r="AN96" s="2"/>
      <c r="AO96" s="2"/>
      <c r="AP96" s="2"/>
    </row>
    <row r="97" spans="3:42" ht="15.75" customHeight="1" x14ac:dyDescent="0.3">
      <c r="C97" s="2"/>
      <c r="D97" s="2"/>
      <c r="E97" s="2"/>
      <c r="F97" s="2"/>
      <c r="G97" s="2"/>
      <c r="H97" s="2"/>
      <c r="I97" s="2"/>
      <c r="J97" s="2"/>
      <c r="K97" s="2"/>
      <c r="L97" s="2"/>
      <c r="M97" s="2"/>
      <c r="N97" s="2"/>
      <c r="O97" s="2"/>
      <c r="P97" s="2"/>
      <c r="Q97" s="2"/>
      <c r="R97" s="2"/>
      <c r="S97" s="2"/>
      <c r="T97" s="2"/>
      <c r="U97" s="2"/>
      <c r="V97" s="2"/>
      <c r="W97" s="2"/>
      <c r="X97" s="2"/>
      <c r="Y97" s="2"/>
      <c r="Z97" s="2"/>
      <c r="AA97" s="2"/>
      <c r="AB97" s="2"/>
      <c r="AC97" s="2"/>
      <c r="AD97" s="2"/>
      <c r="AE97" s="2"/>
      <c r="AF97" s="2"/>
      <c r="AG97" s="2"/>
      <c r="AH97" s="2"/>
      <c r="AI97" s="2"/>
      <c r="AJ97" s="2"/>
      <c r="AK97" s="2"/>
      <c r="AL97" s="2"/>
      <c r="AM97" s="2"/>
      <c r="AN97" s="2"/>
      <c r="AO97" s="2"/>
      <c r="AP97" s="2"/>
    </row>
    <row r="98" spans="3:42" ht="15.75" customHeight="1" x14ac:dyDescent="0.3">
      <c r="C98" s="2"/>
      <c r="D98" s="2"/>
      <c r="E98" s="2"/>
      <c r="F98" s="2"/>
      <c r="G98" s="2"/>
      <c r="H98" s="2"/>
      <c r="I98" s="2"/>
      <c r="J98" s="2"/>
      <c r="K98" s="2"/>
      <c r="L98" s="2"/>
      <c r="M98" s="2"/>
      <c r="N98" s="2"/>
      <c r="O98" s="2"/>
      <c r="P98" s="2"/>
      <c r="Q98" s="2"/>
      <c r="R98" s="2"/>
      <c r="S98" s="2"/>
      <c r="T98" s="2"/>
      <c r="U98" s="2"/>
      <c r="V98" s="2"/>
      <c r="W98" s="2"/>
      <c r="X98" s="2"/>
      <c r="Y98" s="2"/>
      <c r="Z98" s="2"/>
      <c r="AA98" s="2"/>
      <c r="AB98" s="2"/>
      <c r="AC98" s="2"/>
      <c r="AD98" s="2"/>
      <c r="AE98" s="2"/>
      <c r="AF98" s="2"/>
      <c r="AG98" s="2"/>
      <c r="AH98" s="2"/>
      <c r="AI98" s="2"/>
      <c r="AJ98" s="2"/>
      <c r="AK98" s="2"/>
      <c r="AL98" s="2"/>
      <c r="AM98" s="2"/>
      <c r="AN98" s="2"/>
      <c r="AO98" s="2"/>
      <c r="AP98" s="2"/>
    </row>
    <row r="99" spans="3:42" ht="15.75" customHeight="1" x14ac:dyDescent="0.3">
      <c r="C99" s="2"/>
      <c r="D99" s="2"/>
      <c r="E99" s="2"/>
      <c r="F99" s="2"/>
      <c r="G99" s="2"/>
      <c r="H99" s="2"/>
      <c r="I99" s="2"/>
      <c r="J99" s="2"/>
      <c r="K99" s="2"/>
      <c r="L99" s="2"/>
      <c r="M99" s="2"/>
      <c r="N99" s="2"/>
      <c r="O99" s="2"/>
      <c r="P99" s="2"/>
      <c r="Q99" s="2"/>
      <c r="R99" s="2"/>
      <c r="S99" s="2"/>
      <c r="T99" s="2"/>
      <c r="U99" s="2"/>
      <c r="V99" s="2"/>
      <c r="W99" s="2"/>
      <c r="X99" s="2"/>
      <c r="Y99" s="2"/>
      <c r="Z99" s="2"/>
      <c r="AA99" s="2"/>
      <c r="AB99" s="2"/>
      <c r="AC99" s="2"/>
      <c r="AD99" s="2"/>
      <c r="AE99" s="2"/>
      <c r="AF99" s="2"/>
      <c r="AG99" s="2"/>
      <c r="AH99" s="2"/>
      <c r="AI99" s="2"/>
      <c r="AJ99" s="2"/>
      <c r="AK99" s="2"/>
      <c r="AL99" s="2"/>
      <c r="AM99" s="2"/>
      <c r="AN99" s="2"/>
      <c r="AO99" s="2"/>
      <c r="AP99" s="2"/>
    </row>
    <row r="100" spans="3:42" ht="15.75" customHeight="1" x14ac:dyDescent="0.3">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c r="AC100" s="2"/>
      <c r="AD100" s="2"/>
      <c r="AE100" s="2"/>
      <c r="AF100" s="2"/>
      <c r="AG100" s="2"/>
      <c r="AH100" s="2"/>
      <c r="AI100" s="2"/>
      <c r="AJ100" s="2"/>
      <c r="AK100" s="2"/>
      <c r="AL100" s="2"/>
      <c r="AM100" s="2"/>
      <c r="AN100" s="2"/>
      <c r="AO100" s="2"/>
      <c r="AP100" s="2"/>
    </row>
    <row r="101" spans="3:42" ht="15.75" customHeight="1" x14ac:dyDescent="0.3">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c r="AC101" s="2"/>
      <c r="AD101" s="2"/>
      <c r="AE101" s="2"/>
      <c r="AF101" s="2"/>
      <c r="AG101" s="2"/>
      <c r="AH101" s="2"/>
      <c r="AI101" s="2"/>
      <c r="AJ101" s="2"/>
      <c r="AK101" s="2"/>
      <c r="AL101" s="2"/>
      <c r="AM101" s="2"/>
      <c r="AN101" s="2"/>
      <c r="AO101" s="2"/>
      <c r="AP101" s="2"/>
    </row>
    <row r="102" spans="3:42" ht="15.75" customHeight="1" x14ac:dyDescent="0.3">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c r="AC102" s="2"/>
      <c r="AD102" s="2"/>
      <c r="AE102" s="2"/>
      <c r="AF102" s="2"/>
      <c r="AG102" s="2"/>
      <c r="AH102" s="2"/>
      <c r="AI102" s="2"/>
      <c r="AJ102" s="2"/>
      <c r="AK102" s="2"/>
      <c r="AL102" s="2"/>
      <c r="AM102" s="2"/>
      <c r="AN102" s="2"/>
      <c r="AO102" s="2"/>
      <c r="AP102" s="2"/>
    </row>
    <row r="103" spans="3:42" ht="15.75" customHeight="1" x14ac:dyDescent="0.3">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c r="AC103" s="2"/>
      <c r="AD103" s="2"/>
      <c r="AE103" s="2"/>
      <c r="AF103" s="2"/>
      <c r="AG103" s="2"/>
      <c r="AH103" s="2"/>
      <c r="AI103" s="2"/>
      <c r="AJ103" s="2"/>
      <c r="AK103" s="2"/>
      <c r="AL103" s="2"/>
      <c r="AM103" s="2"/>
      <c r="AN103" s="2"/>
      <c r="AO103" s="2"/>
      <c r="AP103" s="2"/>
    </row>
    <row r="104" spans="3:42" ht="15.75" customHeight="1" x14ac:dyDescent="0.3">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c r="AC104" s="2"/>
      <c r="AD104" s="2"/>
      <c r="AE104" s="2"/>
      <c r="AF104" s="2"/>
      <c r="AG104" s="2"/>
      <c r="AH104" s="2"/>
      <c r="AI104" s="2"/>
      <c r="AJ104" s="2"/>
      <c r="AK104" s="2"/>
      <c r="AL104" s="2"/>
      <c r="AM104" s="2"/>
      <c r="AN104" s="2"/>
      <c r="AO104" s="2"/>
      <c r="AP104" s="2"/>
    </row>
    <row r="105" spans="3:42" ht="15.75" customHeight="1" x14ac:dyDescent="0.3">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c r="AC105" s="2"/>
      <c r="AD105" s="2"/>
      <c r="AE105" s="2"/>
      <c r="AF105" s="2"/>
      <c r="AG105" s="2"/>
      <c r="AH105" s="2"/>
      <c r="AI105" s="2"/>
      <c r="AJ105" s="2"/>
      <c r="AK105" s="2"/>
      <c r="AL105" s="2"/>
      <c r="AM105" s="2"/>
      <c r="AN105" s="2"/>
      <c r="AO105" s="2"/>
      <c r="AP105" s="2"/>
    </row>
    <row r="106" spans="3:42" ht="15.75" customHeight="1" x14ac:dyDescent="0.3">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c r="AC106" s="2"/>
      <c r="AD106" s="2"/>
      <c r="AE106" s="2"/>
      <c r="AF106" s="2"/>
      <c r="AG106" s="2"/>
      <c r="AH106" s="2"/>
      <c r="AI106" s="2"/>
      <c r="AJ106" s="2"/>
      <c r="AK106" s="2"/>
      <c r="AL106" s="2"/>
      <c r="AM106" s="2"/>
      <c r="AN106" s="2"/>
      <c r="AO106" s="2"/>
      <c r="AP106" s="2"/>
    </row>
    <row r="107" spans="3:42" ht="15.75" customHeight="1" x14ac:dyDescent="0.3">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c r="AC107" s="2"/>
      <c r="AD107" s="2"/>
      <c r="AE107" s="2"/>
      <c r="AF107" s="2"/>
      <c r="AG107" s="2"/>
      <c r="AH107" s="2"/>
      <c r="AI107" s="2"/>
      <c r="AJ107" s="2"/>
      <c r="AK107" s="2"/>
      <c r="AL107" s="2"/>
      <c r="AM107" s="2"/>
      <c r="AN107" s="2"/>
      <c r="AO107" s="2"/>
      <c r="AP107" s="2"/>
    </row>
    <row r="108" spans="3:42" ht="15.75" customHeight="1" x14ac:dyDescent="0.3">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c r="AC108" s="2"/>
      <c r="AD108" s="2"/>
      <c r="AE108" s="2"/>
      <c r="AF108" s="2"/>
      <c r="AG108" s="2"/>
      <c r="AH108" s="2"/>
      <c r="AI108" s="2"/>
      <c r="AJ108" s="2"/>
      <c r="AK108" s="2"/>
      <c r="AL108" s="2"/>
      <c r="AM108" s="2"/>
      <c r="AN108" s="2"/>
      <c r="AO108" s="2"/>
      <c r="AP108" s="2"/>
    </row>
    <row r="109" spans="3:42" ht="15.75" customHeight="1" x14ac:dyDescent="0.3">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c r="AC109" s="2"/>
      <c r="AD109" s="2"/>
      <c r="AE109" s="2"/>
      <c r="AF109" s="2"/>
      <c r="AG109" s="2"/>
      <c r="AH109" s="2"/>
      <c r="AI109" s="2"/>
      <c r="AJ109" s="2"/>
      <c r="AK109" s="2"/>
      <c r="AL109" s="2"/>
      <c r="AM109" s="2"/>
      <c r="AN109" s="2"/>
      <c r="AO109" s="2"/>
      <c r="AP109" s="2"/>
    </row>
    <row r="110" spans="3:42" ht="15.75" customHeight="1" x14ac:dyDescent="0.3">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c r="AC110" s="2"/>
      <c r="AD110" s="2"/>
      <c r="AE110" s="2"/>
      <c r="AF110" s="2"/>
      <c r="AG110" s="2"/>
      <c r="AH110" s="2"/>
      <c r="AI110" s="2"/>
      <c r="AJ110" s="2"/>
      <c r="AK110" s="2"/>
      <c r="AL110" s="2"/>
      <c r="AM110" s="2"/>
      <c r="AN110" s="2"/>
      <c r="AO110" s="2"/>
      <c r="AP110" s="2"/>
    </row>
    <row r="111" spans="3:42" ht="15.75" customHeight="1" x14ac:dyDescent="0.3">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c r="AC111" s="2"/>
      <c r="AD111" s="2"/>
      <c r="AE111" s="2"/>
      <c r="AF111" s="2"/>
      <c r="AG111" s="2"/>
      <c r="AH111" s="2"/>
      <c r="AI111" s="2"/>
      <c r="AJ111" s="2"/>
      <c r="AK111" s="2"/>
      <c r="AL111" s="2"/>
      <c r="AM111" s="2"/>
      <c r="AN111" s="2"/>
      <c r="AO111" s="2"/>
      <c r="AP111" s="2"/>
    </row>
    <row r="112" spans="3:42" ht="15.75" customHeight="1" x14ac:dyDescent="0.3">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c r="AC112" s="2"/>
      <c r="AD112" s="2"/>
      <c r="AE112" s="2"/>
      <c r="AF112" s="2"/>
      <c r="AG112" s="2"/>
      <c r="AH112" s="2"/>
      <c r="AI112" s="2"/>
      <c r="AJ112" s="2"/>
      <c r="AK112" s="2"/>
      <c r="AL112" s="2"/>
      <c r="AM112" s="2"/>
      <c r="AN112" s="2"/>
      <c r="AO112" s="2"/>
      <c r="AP112" s="2"/>
    </row>
    <row r="113" spans="3:42" ht="15.75" customHeight="1" x14ac:dyDescent="0.3">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c r="AE113" s="2"/>
      <c r="AF113" s="2"/>
      <c r="AG113" s="2"/>
      <c r="AH113" s="2"/>
      <c r="AI113" s="2"/>
      <c r="AJ113" s="2"/>
      <c r="AK113" s="2"/>
      <c r="AL113" s="2"/>
      <c r="AM113" s="2"/>
      <c r="AN113" s="2"/>
      <c r="AO113" s="2"/>
      <c r="AP113" s="2"/>
    </row>
    <row r="114" spans="3:42" ht="15.75" customHeight="1" x14ac:dyDescent="0.3">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c r="AC114" s="2"/>
      <c r="AD114" s="2"/>
      <c r="AE114" s="2"/>
      <c r="AF114" s="2"/>
      <c r="AG114" s="2"/>
      <c r="AH114" s="2"/>
      <c r="AI114" s="2"/>
      <c r="AJ114" s="2"/>
      <c r="AK114" s="2"/>
      <c r="AL114" s="2"/>
      <c r="AM114" s="2"/>
      <c r="AN114" s="2"/>
      <c r="AO114" s="2"/>
      <c r="AP114" s="2"/>
    </row>
    <row r="115" spans="3:42" ht="15.75" customHeight="1" x14ac:dyDescent="0.3">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c r="AC115" s="2"/>
      <c r="AD115" s="2"/>
      <c r="AE115" s="2"/>
      <c r="AF115" s="2"/>
      <c r="AG115" s="2"/>
      <c r="AH115" s="2"/>
      <c r="AI115" s="2"/>
      <c r="AJ115" s="2"/>
      <c r="AK115" s="2"/>
      <c r="AL115" s="2"/>
      <c r="AM115" s="2"/>
      <c r="AN115" s="2"/>
      <c r="AO115" s="2"/>
      <c r="AP115" s="2"/>
    </row>
    <row r="116" spans="3:42" ht="15.75" customHeight="1" x14ac:dyDescent="0.3">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c r="AC116" s="2"/>
      <c r="AD116" s="2"/>
      <c r="AE116" s="2"/>
      <c r="AF116" s="2"/>
      <c r="AG116" s="2"/>
      <c r="AH116" s="2"/>
      <c r="AI116" s="2"/>
      <c r="AJ116" s="2"/>
      <c r="AK116" s="2"/>
      <c r="AL116" s="2"/>
      <c r="AM116" s="2"/>
      <c r="AN116" s="2"/>
      <c r="AO116" s="2"/>
      <c r="AP116" s="2"/>
    </row>
    <row r="117" spans="3:42" ht="15.75" customHeight="1" x14ac:dyDescent="0.3">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c r="AC117" s="2"/>
      <c r="AD117" s="2"/>
      <c r="AE117" s="2"/>
      <c r="AF117" s="2"/>
      <c r="AG117" s="2"/>
      <c r="AH117" s="2"/>
      <c r="AI117" s="2"/>
      <c r="AJ117" s="2"/>
      <c r="AK117" s="2"/>
      <c r="AL117" s="2"/>
      <c r="AM117" s="2"/>
      <c r="AN117" s="2"/>
      <c r="AO117" s="2"/>
      <c r="AP117" s="2"/>
    </row>
    <row r="118" spans="3:42" ht="15.75" customHeight="1" x14ac:dyDescent="0.3">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c r="AC118" s="2"/>
      <c r="AD118" s="2"/>
      <c r="AE118" s="2"/>
      <c r="AF118" s="2"/>
      <c r="AG118" s="2"/>
      <c r="AH118" s="2"/>
      <c r="AI118" s="2"/>
      <c r="AJ118" s="2"/>
      <c r="AK118" s="2"/>
      <c r="AL118" s="2"/>
      <c r="AM118" s="2"/>
      <c r="AN118" s="2"/>
      <c r="AO118" s="2"/>
      <c r="AP118" s="2"/>
    </row>
    <row r="119" spans="3:42" ht="15.75" customHeight="1" x14ac:dyDescent="0.3">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c r="AC119" s="2"/>
      <c r="AD119" s="2"/>
      <c r="AE119" s="2"/>
      <c r="AF119" s="2"/>
      <c r="AG119" s="2"/>
      <c r="AH119" s="2"/>
      <c r="AI119" s="2"/>
      <c r="AJ119" s="2"/>
      <c r="AK119" s="2"/>
      <c r="AL119" s="2"/>
      <c r="AM119" s="2"/>
      <c r="AN119" s="2"/>
      <c r="AO119" s="2"/>
      <c r="AP119" s="2"/>
    </row>
    <row r="120" spans="3:42" ht="15.75" customHeight="1" x14ac:dyDescent="0.3">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c r="AC120" s="2"/>
      <c r="AD120" s="2"/>
      <c r="AE120" s="2"/>
      <c r="AF120" s="2"/>
      <c r="AG120" s="2"/>
      <c r="AH120" s="2"/>
      <c r="AI120" s="2"/>
      <c r="AJ120" s="2"/>
      <c r="AK120" s="2"/>
      <c r="AL120" s="2"/>
      <c r="AM120" s="2"/>
      <c r="AN120" s="2"/>
      <c r="AO120" s="2"/>
      <c r="AP120" s="2"/>
    </row>
    <row r="121" spans="3:42" ht="15.75" customHeight="1" x14ac:dyDescent="0.3">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c r="AC121" s="2"/>
      <c r="AD121" s="2"/>
      <c r="AE121" s="2"/>
      <c r="AF121" s="2"/>
      <c r="AG121" s="2"/>
      <c r="AH121" s="2"/>
      <c r="AI121" s="2"/>
      <c r="AJ121" s="2"/>
      <c r="AK121" s="2"/>
      <c r="AL121" s="2"/>
      <c r="AM121" s="2"/>
      <c r="AN121" s="2"/>
      <c r="AO121" s="2"/>
      <c r="AP121" s="2"/>
    </row>
    <row r="122" spans="3:42" ht="15.75" customHeight="1" x14ac:dyDescent="0.3">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c r="AC122" s="2"/>
      <c r="AD122" s="2"/>
      <c r="AE122" s="2"/>
      <c r="AF122" s="2"/>
      <c r="AG122" s="2"/>
      <c r="AH122" s="2"/>
      <c r="AI122" s="2"/>
      <c r="AJ122" s="2"/>
      <c r="AK122" s="2"/>
      <c r="AL122" s="2"/>
      <c r="AM122" s="2"/>
      <c r="AN122" s="2"/>
      <c r="AO122" s="2"/>
      <c r="AP122" s="2"/>
    </row>
    <row r="123" spans="3:42" ht="15.75" customHeight="1" x14ac:dyDescent="0.3">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c r="AC123" s="2"/>
      <c r="AD123" s="2"/>
      <c r="AE123" s="2"/>
      <c r="AF123" s="2"/>
      <c r="AG123" s="2"/>
      <c r="AH123" s="2"/>
      <c r="AI123" s="2"/>
      <c r="AJ123" s="2"/>
      <c r="AK123" s="2"/>
      <c r="AL123" s="2"/>
      <c r="AM123" s="2"/>
      <c r="AN123" s="2"/>
      <c r="AO123" s="2"/>
      <c r="AP123" s="2"/>
    </row>
    <row r="124" spans="3:42" ht="15.75" customHeight="1" x14ac:dyDescent="0.3">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c r="AC124" s="2"/>
      <c r="AD124" s="2"/>
      <c r="AE124" s="2"/>
      <c r="AF124" s="2"/>
      <c r="AG124" s="2"/>
      <c r="AH124" s="2"/>
      <c r="AI124" s="2"/>
      <c r="AJ124" s="2"/>
      <c r="AK124" s="2"/>
      <c r="AL124" s="2"/>
      <c r="AM124" s="2"/>
      <c r="AN124" s="2"/>
      <c r="AO124" s="2"/>
      <c r="AP124" s="2"/>
    </row>
    <row r="125" spans="3:42" ht="15.75" customHeight="1" x14ac:dyDescent="0.3">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c r="AC125" s="2"/>
      <c r="AD125" s="2"/>
      <c r="AE125" s="2"/>
      <c r="AF125" s="2"/>
      <c r="AG125" s="2"/>
      <c r="AH125" s="2"/>
      <c r="AI125" s="2"/>
      <c r="AJ125" s="2"/>
      <c r="AK125" s="2"/>
      <c r="AL125" s="2"/>
      <c r="AM125" s="2"/>
      <c r="AN125" s="2"/>
      <c r="AO125" s="2"/>
      <c r="AP125" s="2"/>
    </row>
    <row r="126" spans="3:42" ht="15.75" customHeight="1" x14ac:dyDescent="0.3">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c r="AC126" s="2"/>
      <c r="AD126" s="2"/>
      <c r="AE126" s="2"/>
      <c r="AF126" s="2"/>
      <c r="AG126" s="2"/>
      <c r="AH126" s="2"/>
      <c r="AI126" s="2"/>
      <c r="AJ126" s="2"/>
      <c r="AK126" s="2"/>
      <c r="AL126" s="2"/>
      <c r="AM126" s="2"/>
      <c r="AN126" s="2"/>
      <c r="AO126" s="2"/>
      <c r="AP126" s="2"/>
    </row>
    <row r="127" spans="3:42" ht="15.75" customHeight="1" x14ac:dyDescent="0.3">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c r="AC127" s="2"/>
      <c r="AD127" s="2"/>
      <c r="AE127" s="2"/>
      <c r="AF127" s="2"/>
      <c r="AG127" s="2"/>
      <c r="AH127" s="2"/>
      <c r="AI127" s="2"/>
      <c r="AJ127" s="2"/>
      <c r="AK127" s="2"/>
      <c r="AL127" s="2"/>
      <c r="AM127" s="2"/>
      <c r="AN127" s="2"/>
      <c r="AO127" s="2"/>
      <c r="AP127" s="2"/>
    </row>
    <row r="128" spans="3:42" ht="15.75" customHeight="1" x14ac:dyDescent="0.3">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c r="AC128" s="2"/>
      <c r="AD128" s="2"/>
      <c r="AE128" s="2"/>
      <c r="AF128" s="2"/>
      <c r="AG128" s="2"/>
      <c r="AH128" s="2"/>
      <c r="AI128" s="2"/>
      <c r="AJ128" s="2"/>
      <c r="AK128" s="2"/>
      <c r="AL128" s="2"/>
      <c r="AM128" s="2"/>
      <c r="AN128" s="2"/>
      <c r="AO128" s="2"/>
      <c r="AP128" s="2"/>
    </row>
    <row r="129" spans="3:42" ht="15.75" customHeight="1" x14ac:dyDescent="0.3">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c r="AC129" s="2"/>
      <c r="AD129" s="2"/>
      <c r="AE129" s="2"/>
      <c r="AF129" s="2"/>
      <c r="AG129" s="2"/>
      <c r="AH129" s="2"/>
      <c r="AI129" s="2"/>
      <c r="AJ129" s="2"/>
      <c r="AK129" s="2"/>
      <c r="AL129" s="2"/>
      <c r="AM129" s="2"/>
      <c r="AN129" s="2"/>
      <c r="AO129" s="2"/>
      <c r="AP129" s="2"/>
    </row>
    <row r="130" spans="3:42" ht="15.75" customHeight="1" x14ac:dyDescent="0.3">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c r="AC130" s="2"/>
      <c r="AD130" s="2"/>
      <c r="AE130" s="2"/>
      <c r="AF130" s="2"/>
      <c r="AG130" s="2"/>
      <c r="AH130" s="2"/>
      <c r="AI130" s="2"/>
      <c r="AJ130" s="2"/>
      <c r="AK130" s="2"/>
      <c r="AL130" s="2"/>
      <c r="AM130" s="2"/>
      <c r="AN130" s="2"/>
      <c r="AO130" s="2"/>
      <c r="AP130" s="2"/>
    </row>
    <row r="131" spans="3:42" ht="15.75" customHeight="1" x14ac:dyDescent="0.3">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c r="AC131" s="2"/>
      <c r="AD131" s="2"/>
      <c r="AE131" s="2"/>
      <c r="AF131" s="2"/>
      <c r="AG131" s="2"/>
      <c r="AH131" s="2"/>
      <c r="AI131" s="2"/>
      <c r="AJ131" s="2"/>
      <c r="AK131" s="2"/>
      <c r="AL131" s="2"/>
      <c r="AM131" s="2"/>
      <c r="AN131" s="2"/>
      <c r="AO131" s="2"/>
      <c r="AP131" s="2"/>
    </row>
    <row r="132" spans="3:42" ht="15.75" customHeight="1" x14ac:dyDescent="0.3">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c r="AC132" s="2"/>
      <c r="AD132" s="2"/>
      <c r="AE132" s="2"/>
      <c r="AF132" s="2"/>
      <c r="AG132" s="2"/>
      <c r="AH132" s="2"/>
      <c r="AI132" s="2"/>
      <c r="AJ132" s="2"/>
      <c r="AK132" s="2"/>
      <c r="AL132" s="2"/>
      <c r="AM132" s="2"/>
      <c r="AN132" s="2"/>
      <c r="AO132" s="2"/>
      <c r="AP132" s="2"/>
    </row>
    <row r="133" spans="3:42" ht="15.75" customHeight="1" x14ac:dyDescent="0.3">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c r="AC133" s="2"/>
      <c r="AD133" s="2"/>
      <c r="AE133" s="2"/>
      <c r="AF133" s="2"/>
      <c r="AG133" s="2"/>
      <c r="AH133" s="2"/>
      <c r="AI133" s="2"/>
      <c r="AJ133" s="2"/>
      <c r="AK133" s="2"/>
      <c r="AL133" s="2"/>
      <c r="AM133" s="2"/>
      <c r="AN133" s="2"/>
      <c r="AO133" s="2"/>
      <c r="AP133" s="2"/>
    </row>
    <row r="134" spans="3:42" ht="15.75" customHeight="1" x14ac:dyDescent="0.3">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c r="AC134" s="2"/>
      <c r="AD134" s="2"/>
      <c r="AE134" s="2"/>
      <c r="AF134" s="2"/>
      <c r="AG134" s="2"/>
      <c r="AH134" s="2"/>
      <c r="AI134" s="2"/>
      <c r="AJ134" s="2"/>
      <c r="AK134" s="2"/>
      <c r="AL134" s="2"/>
      <c r="AM134" s="2"/>
      <c r="AN134" s="2"/>
      <c r="AO134" s="2"/>
      <c r="AP134" s="2"/>
    </row>
    <row r="135" spans="3:42" ht="15.75" customHeight="1" x14ac:dyDescent="0.3">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c r="AC135" s="2"/>
      <c r="AD135" s="2"/>
      <c r="AE135" s="2"/>
      <c r="AF135" s="2"/>
      <c r="AG135" s="2"/>
      <c r="AH135" s="2"/>
      <c r="AI135" s="2"/>
      <c r="AJ135" s="2"/>
      <c r="AK135" s="2"/>
      <c r="AL135" s="2"/>
      <c r="AM135" s="2"/>
      <c r="AN135" s="2"/>
      <c r="AO135" s="2"/>
      <c r="AP135" s="2"/>
    </row>
    <row r="136" spans="3:42" ht="15.75" customHeight="1" x14ac:dyDescent="0.3">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c r="AC136" s="2"/>
      <c r="AD136" s="2"/>
      <c r="AE136" s="2"/>
      <c r="AF136" s="2"/>
      <c r="AG136" s="2"/>
      <c r="AH136" s="2"/>
      <c r="AI136" s="2"/>
      <c r="AJ136" s="2"/>
      <c r="AK136" s="2"/>
      <c r="AL136" s="2"/>
      <c r="AM136" s="2"/>
      <c r="AN136" s="2"/>
      <c r="AO136" s="2"/>
      <c r="AP136" s="2"/>
    </row>
    <row r="137" spans="3:42" ht="15.75" customHeight="1" x14ac:dyDescent="0.3">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c r="AC137" s="2"/>
      <c r="AD137" s="2"/>
      <c r="AE137" s="2"/>
      <c r="AF137" s="2"/>
      <c r="AG137" s="2"/>
      <c r="AH137" s="2"/>
      <c r="AI137" s="2"/>
      <c r="AJ137" s="2"/>
      <c r="AK137" s="2"/>
      <c r="AL137" s="2"/>
      <c r="AM137" s="2"/>
      <c r="AN137" s="2"/>
      <c r="AO137" s="2"/>
      <c r="AP137" s="2"/>
    </row>
    <row r="138" spans="3:42" ht="15.75" customHeight="1" x14ac:dyDescent="0.3">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c r="AC138" s="2"/>
      <c r="AD138" s="2"/>
      <c r="AE138" s="2"/>
      <c r="AF138" s="2"/>
      <c r="AG138" s="2"/>
      <c r="AH138" s="2"/>
      <c r="AI138" s="2"/>
      <c r="AJ138" s="2"/>
      <c r="AK138" s="2"/>
      <c r="AL138" s="2"/>
      <c r="AM138" s="2"/>
      <c r="AN138" s="2"/>
      <c r="AO138" s="2"/>
      <c r="AP138" s="2"/>
    </row>
    <row r="139" spans="3:42" ht="15.75" customHeight="1" x14ac:dyDescent="0.3">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c r="AC139" s="2"/>
      <c r="AD139" s="2"/>
      <c r="AE139" s="2"/>
      <c r="AF139" s="2"/>
      <c r="AG139" s="2"/>
      <c r="AH139" s="2"/>
      <c r="AI139" s="2"/>
      <c r="AJ139" s="2"/>
      <c r="AK139" s="2"/>
      <c r="AL139" s="2"/>
      <c r="AM139" s="2"/>
      <c r="AN139" s="2"/>
      <c r="AO139" s="2"/>
      <c r="AP139" s="2"/>
    </row>
    <row r="140" spans="3:42" ht="15.75" customHeight="1" x14ac:dyDescent="0.3">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c r="AC140" s="2"/>
      <c r="AD140" s="2"/>
      <c r="AE140" s="2"/>
      <c r="AF140" s="2"/>
      <c r="AG140" s="2"/>
      <c r="AH140" s="2"/>
      <c r="AI140" s="2"/>
      <c r="AJ140" s="2"/>
      <c r="AK140" s="2"/>
      <c r="AL140" s="2"/>
      <c r="AM140" s="2"/>
      <c r="AN140" s="2"/>
      <c r="AO140" s="2"/>
      <c r="AP140" s="2"/>
    </row>
    <row r="141" spans="3:42" ht="15.75" customHeight="1" x14ac:dyDescent="0.3">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c r="AC141" s="2"/>
      <c r="AD141" s="2"/>
      <c r="AE141" s="2"/>
      <c r="AF141" s="2"/>
      <c r="AG141" s="2"/>
      <c r="AH141" s="2"/>
      <c r="AI141" s="2"/>
      <c r="AJ141" s="2"/>
      <c r="AK141" s="2"/>
      <c r="AL141" s="2"/>
      <c r="AM141" s="2"/>
      <c r="AN141" s="2"/>
      <c r="AO141" s="2"/>
      <c r="AP141" s="2"/>
    </row>
    <row r="142" spans="3:42" ht="15.75" customHeight="1" x14ac:dyDescent="0.3">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c r="AC142" s="2"/>
      <c r="AD142" s="2"/>
      <c r="AE142" s="2"/>
      <c r="AF142" s="2"/>
      <c r="AG142" s="2"/>
      <c r="AH142" s="2"/>
      <c r="AI142" s="2"/>
      <c r="AJ142" s="2"/>
      <c r="AK142" s="2"/>
      <c r="AL142" s="2"/>
      <c r="AM142" s="2"/>
      <c r="AN142" s="2"/>
      <c r="AO142" s="2"/>
      <c r="AP142" s="2"/>
    </row>
    <row r="143" spans="3:42" ht="15.75" customHeight="1" x14ac:dyDescent="0.3">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c r="AC143" s="2"/>
      <c r="AD143" s="2"/>
      <c r="AE143" s="2"/>
      <c r="AF143" s="2"/>
      <c r="AG143" s="2"/>
      <c r="AH143" s="2"/>
      <c r="AI143" s="2"/>
      <c r="AJ143" s="2"/>
      <c r="AK143" s="2"/>
      <c r="AL143" s="2"/>
      <c r="AM143" s="2"/>
      <c r="AN143" s="2"/>
      <c r="AO143" s="2"/>
      <c r="AP143" s="2"/>
    </row>
    <row r="144" spans="3:42" ht="15.75" customHeight="1" x14ac:dyDescent="0.3">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c r="AC144" s="2"/>
      <c r="AD144" s="2"/>
      <c r="AE144" s="2"/>
      <c r="AF144" s="2"/>
      <c r="AG144" s="2"/>
      <c r="AH144" s="2"/>
      <c r="AI144" s="2"/>
      <c r="AJ144" s="2"/>
      <c r="AK144" s="2"/>
      <c r="AL144" s="2"/>
      <c r="AM144" s="2"/>
      <c r="AN144" s="2"/>
      <c r="AO144" s="2"/>
      <c r="AP144" s="2"/>
    </row>
    <row r="145" spans="3:42" ht="15.75" customHeight="1" x14ac:dyDescent="0.3">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c r="AC145" s="2"/>
      <c r="AD145" s="2"/>
      <c r="AE145" s="2"/>
      <c r="AF145" s="2"/>
      <c r="AG145" s="2"/>
      <c r="AH145" s="2"/>
      <c r="AI145" s="2"/>
      <c r="AJ145" s="2"/>
      <c r="AK145" s="2"/>
      <c r="AL145" s="2"/>
      <c r="AM145" s="2"/>
      <c r="AN145" s="2"/>
      <c r="AO145" s="2"/>
      <c r="AP145" s="2"/>
    </row>
    <row r="146" spans="3:42" ht="15.75" customHeight="1" x14ac:dyDescent="0.3">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c r="AC146" s="2"/>
      <c r="AD146" s="2"/>
      <c r="AE146" s="2"/>
      <c r="AF146" s="2"/>
      <c r="AG146" s="2"/>
      <c r="AH146" s="2"/>
      <c r="AI146" s="2"/>
      <c r="AJ146" s="2"/>
      <c r="AK146" s="2"/>
      <c r="AL146" s="2"/>
      <c r="AM146" s="2"/>
      <c r="AN146" s="2"/>
      <c r="AO146" s="2"/>
      <c r="AP146" s="2"/>
    </row>
    <row r="147" spans="3:42" ht="15.75" customHeight="1" x14ac:dyDescent="0.3">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c r="AC147" s="2"/>
      <c r="AD147" s="2"/>
      <c r="AE147" s="2"/>
      <c r="AF147" s="2"/>
      <c r="AG147" s="2"/>
      <c r="AH147" s="2"/>
      <c r="AI147" s="2"/>
      <c r="AJ147" s="2"/>
      <c r="AK147" s="2"/>
      <c r="AL147" s="2"/>
      <c r="AM147" s="2"/>
      <c r="AN147" s="2"/>
      <c r="AO147" s="2"/>
      <c r="AP147" s="2"/>
    </row>
    <row r="148" spans="3:42" ht="15.75" customHeight="1" x14ac:dyDescent="0.3">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c r="AC148" s="2"/>
      <c r="AD148" s="2"/>
      <c r="AE148" s="2"/>
      <c r="AF148" s="2"/>
      <c r="AG148" s="2"/>
      <c r="AH148" s="2"/>
      <c r="AI148" s="2"/>
      <c r="AJ148" s="2"/>
      <c r="AK148" s="2"/>
      <c r="AL148" s="2"/>
      <c r="AM148" s="2"/>
      <c r="AN148" s="2"/>
      <c r="AO148" s="2"/>
      <c r="AP148" s="2"/>
    </row>
    <row r="149" spans="3:42" ht="15.75" customHeight="1" x14ac:dyDescent="0.3">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c r="AC149" s="2"/>
      <c r="AD149" s="2"/>
      <c r="AE149" s="2"/>
      <c r="AF149" s="2"/>
      <c r="AG149" s="2"/>
      <c r="AH149" s="2"/>
      <c r="AI149" s="2"/>
      <c r="AJ149" s="2"/>
      <c r="AK149" s="2"/>
      <c r="AL149" s="2"/>
      <c r="AM149" s="2"/>
      <c r="AN149" s="2"/>
      <c r="AO149" s="2"/>
      <c r="AP149" s="2"/>
    </row>
    <row r="150" spans="3:42" ht="15.75" customHeight="1" x14ac:dyDescent="0.3">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c r="AC150" s="2"/>
      <c r="AD150" s="2"/>
      <c r="AE150" s="2"/>
      <c r="AF150" s="2"/>
      <c r="AG150" s="2"/>
      <c r="AH150" s="2"/>
      <c r="AI150" s="2"/>
      <c r="AJ150" s="2"/>
      <c r="AK150" s="2"/>
      <c r="AL150" s="2"/>
      <c r="AM150" s="2"/>
      <c r="AN150" s="2"/>
      <c r="AO150" s="2"/>
      <c r="AP150" s="2"/>
    </row>
    <row r="151" spans="3:42" ht="15.75" customHeight="1" x14ac:dyDescent="0.3">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c r="AC151" s="2"/>
      <c r="AD151" s="2"/>
      <c r="AE151" s="2"/>
      <c r="AF151" s="2"/>
      <c r="AG151" s="2"/>
      <c r="AH151" s="2"/>
      <c r="AI151" s="2"/>
      <c r="AJ151" s="2"/>
      <c r="AK151" s="2"/>
      <c r="AL151" s="2"/>
      <c r="AM151" s="2"/>
      <c r="AN151" s="2"/>
      <c r="AO151" s="2"/>
      <c r="AP151" s="2"/>
    </row>
    <row r="152" spans="3:42" ht="15.75" customHeight="1" x14ac:dyDescent="0.3">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c r="AC152" s="2"/>
      <c r="AD152" s="2"/>
      <c r="AE152" s="2"/>
      <c r="AF152" s="2"/>
      <c r="AG152" s="2"/>
      <c r="AH152" s="2"/>
      <c r="AI152" s="2"/>
      <c r="AJ152" s="2"/>
      <c r="AK152" s="2"/>
      <c r="AL152" s="2"/>
      <c r="AM152" s="2"/>
      <c r="AN152" s="2"/>
      <c r="AO152" s="2"/>
      <c r="AP152" s="2"/>
    </row>
    <row r="153" spans="3:42" ht="15.75" customHeight="1" x14ac:dyDescent="0.3">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c r="AC153" s="2"/>
      <c r="AD153" s="2"/>
      <c r="AE153" s="2"/>
      <c r="AF153" s="2"/>
      <c r="AG153" s="2"/>
      <c r="AH153" s="2"/>
      <c r="AI153" s="2"/>
      <c r="AJ153" s="2"/>
      <c r="AK153" s="2"/>
      <c r="AL153" s="2"/>
      <c r="AM153" s="2"/>
      <c r="AN153" s="2"/>
      <c r="AO153" s="2"/>
      <c r="AP153" s="2"/>
    </row>
    <row r="154" spans="3:42" ht="15.75" customHeight="1" x14ac:dyDescent="0.3">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c r="AC154" s="2"/>
      <c r="AD154" s="2"/>
      <c r="AE154" s="2"/>
      <c r="AF154" s="2"/>
      <c r="AG154" s="2"/>
      <c r="AH154" s="2"/>
      <c r="AI154" s="2"/>
      <c r="AJ154" s="2"/>
      <c r="AK154" s="2"/>
      <c r="AL154" s="2"/>
      <c r="AM154" s="2"/>
      <c r="AN154" s="2"/>
      <c r="AO154" s="2"/>
      <c r="AP154" s="2"/>
    </row>
    <row r="155" spans="3:42" ht="15.75" customHeight="1" x14ac:dyDescent="0.3">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c r="AC155" s="2"/>
      <c r="AD155" s="2"/>
      <c r="AE155" s="2"/>
      <c r="AF155" s="2"/>
      <c r="AG155" s="2"/>
      <c r="AH155" s="2"/>
      <c r="AI155" s="2"/>
      <c r="AJ155" s="2"/>
      <c r="AK155" s="2"/>
      <c r="AL155" s="2"/>
      <c r="AM155" s="2"/>
      <c r="AN155" s="2"/>
      <c r="AO155" s="2"/>
      <c r="AP155" s="2"/>
    </row>
    <row r="156" spans="3:42" ht="15.75" customHeight="1" x14ac:dyDescent="0.3">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c r="AC156" s="2"/>
      <c r="AD156" s="2"/>
      <c r="AE156" s="2"/>
      <c r="AF156" s="2"/>
      <c r="AG156" s="2"/>
      <c r="AH156" s="2"/>
      <c r="AI156" s="2"/>
      <c r="AJ156" s="2"/>
      <c r="AK156" s="2"/>
      <c r="AL156" s="2"/>
      <c r="AM156" s="2"/>
      <c r="AN156" s="2"/>
      <c r="AO156" s="2"/>
      <c r="AP156" s="2"/>
    </row>
    <row r="157" spans="3:42" ht="15.75" customHeight="1" x14ac:dyDescent="0.3">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c r="AC157" s="2"/>
      <c r="AD157" s="2"/>
      <c r="AE157" s="2"/>
      <c r="AF157" s="2"/>
      <c r="AG157" s="2"/>
      <c r="AH157" s="2"/>
      <c r="AI157" s="2"/>
      <c r="AJ157" s="2"/>
      <c r="AK157" s="2"/>
      <c r="AL157" s="2"/>
      <c r="AM157" s="2"/>
      <c r="AN157" s="2"/>
      <c r="AO157" s="2"/>
      <c r="AP157" s="2"/>
    </row>
    <row r="158" spans="3:42" ht="15.75" customHeight="1" x14ac:dyDescent="0.3">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c r="AC158" s="2"/>
      <c r="AD158" s="2"/>
      <c r="AE158" s="2"/>
      <c r="AF158" s="2"/>
      <c r="AG158" s="2"/>
      <c r="AH158" s="2"/>
      <c r="AI158" s="2"/>
      <c r="AJ158" s="2"/>
      <c r="AK158" s="2"/>
      <c r="AL158" s="2"/>
      <c r="AM158" s="2"/>
      <c r="AN158" s="2"/>
      <c r="AO158" s="2"/>
      <c r="AP158" s="2"/>
    </row>
    <row r="159" spans="3:42" ht="15.75" customHeight="1" x14ac:dyDescent="0.3">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c r="AC159" s="2"/>
      <c r="AD159" s="2"/>
      <c r="AE159" s="2"/>
      <c r="AF159" s="2"/>
      <c r="AG159" s="2"/>
      <c r="AH159" s="2"/>
      <c r="AI159" s="2"/>
      <c r="AJ159" s="2"/>
      <c r="AK159" s="2"/>
      <c r="AL159" s="2"/>
      <c r="AM159" s="2"/>
      <c r="AN159" s="2"/>
      <c r="AO159" s="2"/>
      <c r="AP159" s="2"/>
    </row>
    <row r="160" spans="3:42" ht="15.75" customHeight="1" x14ac:dyDescent="0.3">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c r="AE160" s="2"/>
      <c r="AF160" s="2"/>
      <c r="AG160" s="2"/>
      <c r="AH160" s="2"/>
      <c r="AI160" s="2"/>
      <c r="AJ160" s="2"/>
      <c r="AK160" s="2"/>
      <c r="AL160" s="2"/>
      <c r="AM160" s="2"/>
      <c r="AN160" s="2"/>
      <c r="AO160" s="2"/>
      <c r="AP160" s="2"/>
    </row>
    <row r="161" spans="3:42" ht="15.75" customHeight="1" x14ac:dyDescent="0.3">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c r="AC161" s="2"/>
      <c r="AD161" s="2"/>
      <c r="AE161" s="2"/>
      <c r="AF161" s="2"/>
      <c r="AG161" s="2"/>
      <c r="AH161" s="2"/>
      <c r="AI161" s="2"/>
      <c r="AJ161" s="2"/>
      <c r="AK161" s="2"/>
      <c r="AL161" s="2"/>
      <c r="AM161" s="2"/>
      <c r="AN161" s="2"/>
      <c r="AO161" s="2"/>
      <c r="AP161" s="2"/>
    </row>
    <row r="162" spans="3:42" ht="15.75" customHeight="1" x14ac:dyDescent="0.3">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c r="AC162" s="2"/>
      <c r="AD162" s="2"/>
      <c r="AE162" s="2"/>
      <c r="AF162" s="2"/>
      <c r="AG162" s="2"/>
      <c r="AH162" s="2"/>
      <c r="AI162" s="2"/>
      <c r="AJ162" s="2"/>
      <c r="AK162" s="2"/>
      <c r="AL162" s="2"/>
      <c r="AM162" s="2"/>
      <c r="AN162" s="2"/>
      <c r="AO162" s="2"/>
      <c r="AP162" s="2"/>
    </row>
    <row r="163" spans="3:42" ht="15.75" customHeight="1" x14ac:dyDescent="0.3">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c r="AC163" s="2"/>
      <c r="AD163" s="2"/>
      <c r="AE163" s="2"/>
      <c r="AF163" s="2"/>
      <c r="AG163" s="2"/>
      <c r="AH163" s="2"/>
      <c r="AI163" s="2"/>
      <c r="AJ163" s="2"/>
      <c r="AK163" s="2"/>
      <c r="AL163" s="2"/>
      <c r="AM163" s="2"/>
      <c r="AN163" s="2"/>
      <c r="AO163" s="2"/>
      <c r="AP163" s="2"/>
    </row>
    <row r="164" spans="3:42" ht="15.75" customHeight="1" x14ac:dyDescent="0.3">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c r="AC164" s="2"/>
      <c r="AD164" s="2"/>
      <c r="AE164" s="2"/>
      <c r="AF164" s="2"/>
      <c r="AG164" s="2"/>
      <c r="AH164" s="2"/>
      <c r="AI164" s="2"/>
      <c r="AJ164" s="2"/>
      <c r="AK164" s="2"/>
      <c r="AL164" s="2"/>
      <c r="AM164" s="2"/>
      <c r="AN164" s="2"/>
      <c r="AO164" s="2"/>
      <c r="AP164" s="2"/>
    </row>
    <row r="165" spans="3:42" ht="15.75" customHeight="1" x14ac:dyDescent="0.3">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c r="AC165" s="2"/>
      <c r="AD165" s="2"/>
      <c r="AE165" s="2"/>
      <c r="AF165" s="2"/>
      <c r="AG165" s="2"/>
      <c r="AH165" s="2"/>
      <c r="AI165" s="2"/>
      <c r="AJ165" s="2"/>
      <c r="AK165" s="2"/>
      <c r="AL165" s="2"/>
      <c r="AM165" s="2"/>
      <c r="AN165" s="2"/>
      <c r="AO165" s="2"/>
      <c r="AP165" s="2"/>
    </row>
    <row r="166" spans="3:42" ht="15.75" customHeight="1" x14ac:dyDescent="0.3">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c r="AC166" s="2"/>
      <c r="AD166" s="2"/>
      <c r="AE166" s="2"/>
      <c r="AF166" s="2"/>
      <c r="AG166" s="2"/>
      <c r="AH166" s="2"/>
      <c r="AI166" s="2"/>
      <c r="AJ166" s="2"/>
      <c r="AK166" s="2"/>
      <c r="AL166" s="2"/>
      <c r="AM166" s="2"/>
      <c r="AN166" s="2"/>
      <c r="AO166" s="2"/>
      <c r="AP166" s="2"/>
    </row>
    <row r="167" spans="3:42" ht="15.75" customHeight="1" x14ac:dyDescent="0.3">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c r="AC167" s="2"/>
      <c r="AD167" s="2"/>
      <c r="AE167" s="2"/>
      <c r="AF167" s="2"/>
      <c r="AG167" s="2"/>
      <c r="AH167" s="2"/>
      <c r="AI167" s="2"/>
      <c r="AJ167" s="2"/>
      <c r="AK167" s="2"/>
      <c r="AL167" s="2"/>
      <c r="AM167" s="2"/>
      <c r="AN167" s="2"/>
      <c r="AO167" s="2"/>
      <c r="AP167" s="2"/>
    </row>
    <row r="168" spans="3:42" ht="15.75" customHeight="1" x14ac:dyDescent="0.3">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c r="AC168" s="2"/>
      <c r="AD168" s="2"/>
      <c r="AE168" s="2"/>
      <c r="AF168" s="2"/>
      <c r="AG168" s="2"/>
      <c r="AH168" s="2"/>
      <c r="AI168" s="2"/>
      <c r="AJ168" s="2"/>
      <c r="AK168" s="2"/>
      <c r="AL168" s="2"/>
      <c r="AM168" s="2"/>
      <c r="AN168" s="2"/>
      <c r="AO168" s="2"/>
      <c r="AP168" s="2"/>
    </row>
    <row r="169" spans="3:42" ht="15.75" customHeight="1" x14ac:dyDescent="0.3">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c r="AC169" s="2"/>
      <c r="AD169" s="2"/>
      <c r="AE169" s="2"/>
      <c r="AF169" s="2"/>
      <c r="AG169" s="2"/>
      <c r="AH169" s="2"/>
      <c r="AI169" s="2"/>
      <c r="AJ169" s="2"/>
      <c r="AK169" s="2"/>
      <c r="AL169" s="2"/>
      <c r="AM169" s="2"/>
      <c r="AN169" s="2"/>
      <c r="AO169" s="2"/>
      <c r="AP169" s="2"/>
    </row>
    <row r="170" spans="3:42" ht="15.75" customHeight="1" x14ac:dyDescent="0.3">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c r="AC170" s="2"/>
      <c r="AD170" s="2"/>
      <c r="AE170" s="2"/>
      <c r="AF170" s="2"/>
      <c r="AG170" s="2"/>
      <c r="AH170" s="2"/>
      <c r="AI170" s="2"/>
      <c r="AJ170" s="2"/>
      <c r="AK170" s="2"/>
      <c r="AL170" s="2"/>
      <c r="AM170" s="2"/>
      <c r="AN170" s="2"/>
      <c r="AO170" s="2"/>
      <c r="AP170" s="2"/>
    </row>
    <row r="171" spans="3:42" ht="15.75" customHeight="1" x14ac:dyDescent="0.3">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c r="AC171" s="2"/>
      <c r="AD171" s="2"/>
      <c r="AE171" s="2"/>
      <c r="AF171" s="2"/>
      <c r="AG171" s="2"/>
      <c r="AH171" s="2"/>
      <c r="AI171" s="2"/>
      <c r="AJ171" s="2"/>
      <c r="AK171" s="2"/>
      <c r="AL171" s="2"/>
      <c r="AM171" s="2"/>
      <c r="AN171" s="2"/>
      <c r="AO171" s="2"/>
      <c r="AP171" s="2"/>
    </row>
    <row r="172" spans="3:42" ht="15.75" customHeight="1" x14ac:dyDescent="0.3">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c r="AC172" s="2"/>
      <c r="AD172" s="2"/>
      <c r="AE172" s="2"/>
      <c r="AF172" s="2"/>
      <c r="AG172" s="2"/>
      <c r="AH172" s="2"/>
      <c r="AI172" s="2"/>
      <c r="AJ172" s="2"/>
      <c r="AK172" s="2"/>
      <c r="AL172" s="2"/>
      <c r="AM172" s="2"/>
      <c r="AN172" s="2"/>
      <c r="AO172" s="2"/>
      <c r="AP172" s="2"/>
    </row>
    <row r="173" spans="3:42" ht="15.75" customHeight="1" x14ac:dyDescent="0.3">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c r="AC173" s="2"/>
      <c r="AD173" s="2"/>
      <c r="AE173" s="2"/>
      <c r="AF173" s="2"/>
      <c r="AG173" s="2"/>
      <c r="AH173" s="2"/>
      <c r="AI173" s="2"/>
      <c r="AJ173" s="2"/>
      <c r="AK173" s="2"/>
      <c r="AL173" s="2"/>
      <c r="AM173" s="2"/>
      <c r="AN173" s="2"/>
      <c r="AO173" s="2"/>
      <c r="AP173" s="2"/>
    </row>
    <row r="174" spans="3:42" ht="15.75" customHeight="1" x14ac:dyDescent="0.3">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c r="AC174" s="2"/>
      <c r="AD174" s="2"/>
      <c r="AE174" s="2"/>
      <c r="AF174" s="2"/>
      <c r="AG174" s="2"/>
      <c r="AH174" s="2"/>
      <c r="AI174" s="2"/>
      <c r="AJ174" s="2"/>
      <c r="AK174" s="2"/>
      <c r="AL174" s="2"/>
      <c r="AM174" s="2"/>
      <c r="AN174" s="2"/>
      <c r="AO174" s="2"/>
      <c r="AP174" s="2"/>
    </row>
    <row r="175" spans="3:42" ht="15.75" customHeight="1" x14ac:dyDescent="0.3">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c r="AC175" s="2"/>
      <c r="AD175" s="2"/>
      <c r="AE175" s="2"/>
      <c r="AF175" s="2"/>
      <c r="AG175" s="2"/>
      <c r="AH175" s="2"/>
      <c r="AI175" s="2"/>
      <c r="AJ175" s="2"/>
      <c r="AK175" s="2"/>
      <c r="AL175" s="2"/>
      <c r="AM175" s="2"/>
      <c r="AN175" s="2"/>
      <c r="AO175" s="2"/>
      <c r="AP175" s="2"/>
    </row>
    <row r="176" spans="3:42" ht="15.75" customHeight="1" x14ac:dyDescent="0.3">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c r="AC176" s="2"/>
      <c r="AD176" s="2"/>
      <c r="AE176" s="2"/>
      <c r="AF176" s="2"/>
      <c r="AG176" s="2"/>
      <c r="AH176" s="2"/>
      <c r="AI176" s="2"/>
      <c r="AJ176" s="2"/>
      <c r="AK176" s="2"/>
      <c r="AL176" s="2"/>
      <c r="AM176" s="2"/>
      <c r="AN176" s="2"/>
      <c r="AO176" s="2"/>
      <c r="AP176" s="2"/>
    </row>
    <row r="177" spans="3:42" ht="15.75" customHeight="1" x14ac:dyDescent="0.3">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c r="AC177" s="2"/>
      <c r="AD177" s="2"/>
      <c r="AE177" s="2"/>
      <c r="AF177" s="2"/>
      <c r="AG177" s="2"/>
      <c r="AH177" s="2"/>
      <c r="AI177" s="2"/>
      <c r="AJ177" s="2"/>
      <c r="AK177" s="2"/>
      <c r="AL177" s="2"/>
      <c r="AM177" s="2"/>
      <c r="AN177" s="2"/>
      <c r="AO177" s="2"/>
      <c r="AP177" s="2"/>
    </row>
    <row r="178" spans="3:42" ht="15.75" customHeight="1" x14ac:dyDescent="0.3">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c r="AC178" s="2"/>
      <c r="AD178" s="2"/>
      <c r="AE178" s="2"/>
      <c r="AF178" s="2"/>
      <c r="AG178" s="2"/>
      <c r="AH178" s="2"/>
      <c r="AI178" s="2"/>
      <c r="AJ178" s="2"/>
      <c r="AK178" s="2"/>
      <c r="AL178" s="2"/>
      <c r="AM178" s="2"/>
      <c r="AN178" s="2"/>
      <c r="AO178" s="2"/>
      <c r="AP178" s="2"/>
    </row>
    <row r="179" spans="3:42" ht="15.75" customHeight="1" x14ac:dyDescent="0.3">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c r="AC179" s="2"/>
      <c r="AD179" s="2"/>
      <c r="AE179" s="2"/>
      <c r="AF179" s="2"/>
      <c r="AG179" s="2"/>
      <c r="AH179" s="2"/>
      <c r="AI179" s="2"/>
      <c r="AJ179" s="2"/>
      <c r="AK179" s="2"/>
      <c r="AL179" s="2"/>
      <c r="AM179" s="2"/>
      <c r="AN179" s="2"/>
      <c r="AO179" s="2"/>
      <c r="AP179" s="2"/>
    </row>
    <row r="180" spans="3:42" ht="15.75" customHeight="1" x14ac:dyDescent="0.3">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c r="AC180" s="2"/>
      <c r="AD180" s="2"/>
      <c r="AE180" s="2"/>
      <c r="AF180" s="2"/>
      <c r="AG180" s="2"/>
      <c r="AH180" s="2"/>
      <c r="AI180" s="2"/>
      <c r="AJ180" s="2"/>
      <c r="AK180" s="2"/>
      <c r="AL180" s="2"/>
      <c r="AM180" s="2"/>
      <c r="AN180" s="2"/>
      <c r="AO180" s="2"/>
      <c r="AP180" s="2"/>
    </row>
    <row r="181" spans="3:42" ht="15.75" customHeight="1" x14ac:dyDescent="0.3">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c r="AC181" s="2"/>
      <c r="AD181" s="2"/>
      <c r="AE181" s="2"/>
      <c r="AF181" s="2"/>
      <c r="AG181" s="2"/>
      <c r="AH181" s="2"/>
      <c r="AI181" s="2"/>
      <c r="AJ181" s="2"/>
      <c r="AK181" s="2"/>
      <c r="AL181" s="2"/>
      <c r="AM181" s="2"/>
      <c r="AN181" s="2"/>
      <c r="AO181" s="2"/>
      <c r="AP181" s="2"/>
    </row>
    <row r="182" spans="3:42" ht="15.75" customHeight="1" x14ac:dyDescent="0.3">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c r="AC182" s="2"/>
      <c r="AD182" s="2"/>
      <c r="AE182" s="2"/>
      <c r="AF182" s="2"/>
      <c r="AG182" s="2"/>
      <c r="AH182" s="2"/>
      <c r="AI182" s="2"/>
      <c r="AJ182" s="2"/>
      <c r="AK182" s="2"/>
      <c r="AL182" s="2"/>
      <c r="AM182" s="2"/>
      <c r="AN182" s="2"/>
      <c r="AO182" s="2"/>
      <c r="AP182" s="2"/>
    </row>
    <row r="183" spans="3:42" ht="15.75" customHeight="1" x14ac:dyDescent="0.3">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c r="AC183" s="2"/>
      <c r="AD183" s="2"/>
      <c r="AE183" s="2"/>
      <c r="AF183" s="2"/>
      <c r="AG183" s="2"/>
      <c r="AH183" s="2"/>
      <c r="AI183" s="2"/>
      <c r="AJ183" s="2"/>
      <c r="AK183" s="2"/>
      <c r="AL183" s="2"/>
      <c r="AM183" s="2"/>
      <c r="AN183" s="2"/>
      <c r="AO183" s="2"/>
      <c r="AP183" s="2"/>
    </row>
    <row r="184" spans="3:42" ht="15.75" customHeight="1" x14ac:dyDescent="0.3">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c r="AC184" s="2"/>
      <c r="AD184" s="2"/>
      <c r="AE184" s="2"/>
      <c r="AF184" s="2"/>
      <c r="AG184" s="2"/>
      <c r="AH184" s="2"/>
      <c r="AI184" s="2"/>
      <c r="AJ184" s="2"/>
      <c r="AK184" s="2"/>
      <c r="AL184" s="2"/>
      <c r="AM184" s="2"/>
      <c r="AN184" s="2"/>
      <c r="AO184" s="2"/>
      <c r="AP184" s="2"/>
    </row>
    <row r="185" spans="3:42" ht="15.75" customHeight="1" x14ac:dyDescent="0.3">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c r="AC185" s="2"/>
      <c r="AD185" s="2"/>
      <c r="AE185" s="2"/>
      <c r="AF185" s="2"/>
      <c r="AG185" s="2"/>
      <c r="AH185" s="2"/>
      <c r="AI185" s="2"/>
      <c r="AJ185" s="2"/>
      <c r="AK185" s="2"/>
      <c r="AL185" s="2"/>
      <c r="AM185" s="2"/>
      <c r="AN185" s="2"/>
      <c r="AO185" s="2"/>
      <c r="AP185" s="2"/>
    </row>
    <row r="186" spans="3:42" ht="15.75" customHeight="1" x14ac:dyDescent="0.3">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c r="AC186" s="2"/>
      <c r="AD186" s="2"/>
      <c r="AE186" s="2"/>
      <c r="AF186" s="2"/>
      <c r="AG186" s="2"/>
      <c r="AH186" s="2"/>
      <c r="AI186" s="2"/>
      <c r="AJ186" s="2"/>
      <c r="AK186" s="2"/>
      <c r="AL186" s="2"/>
      <c r="AM186" s="2"/>
      <c r="AN186" s="2"/>
      <c r="AO186" s="2"/>
      <c r="AP186" s="2"/>
    </row>
    <row r="187" spans="3:42" ht="15.75" customHeight="1" x14ac:dyDescent="0.3">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c r="AC187" s="2"/>
      <c r="AD187" s="2"/>
      <c r="AE187" s="2"/>
      <c r="AF187" s="2"/>
      <c r="AG187" s="2"/>
      <c r="AH187" s="2"/>
      <c r="AI187" s="2"/>
      <c r="AJ187" s="2"/>
      <c r="AK187" s="2"/>
      <c r="AL187" s="2"/>
      <c r="AM187" s="2"/>
      <c r="AN187" s="2"/>
      <c r="AO187" s="2"/>
      <c r="AP187" s="2"/>
    </row>
    <row r="188" spans="3:42" ht="15.75" customHeight="1" x14ac:dyDescent="0.3">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c r="AC188" s="2"/>
      <c r="AD188" s="2"/>
      <c r="AE188" s="2"/>
      <c r="AF188" s="2"/>
      <c r="AG188" s="2"/>
      <c r="AH188" s="2"/>
      <c r="AI188" s="2"/>
      <c r="AJ188" s="2"/>
      <c r="AK188" s="2"/>
      <c r="AL188" s="2"/>
      <c r="AM188" s="2"/>
      <c r="AN188" s="2"/>
      <c r="AO188" s="2"/>
      <c r="AP188" s="2"/>
    </row>
    <row r="189" spans="3:42" ht="15.75" customHeight="1" x14ac:dyDescent="0.3">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c r="AC189" s="2"/>
      <c r="AD189" s="2"/>
      <c r="AE189" s="2"/>
      <c r="AF189" s="2"/>
      <c r="AG189" s="2"/>
      <c r="AH189" s="2"/>
      <c r="AI189" s="2"/>
      <c r="AJ189" s="2"/>
      <c r="AK189" s="2"/>
      <c r="AL189" s="2"/>
      <c r="AM189" s="2"/>
      <c r="AN189" s="2"/>
      <c r="AO189" s="2"/>
      <c r="AP189" s="2"/>
    </row>
    <row r="190" spans="3:42" ht="15.75" customHeight="1" x14ac:dyDescent="0.3">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c r="AC190" s="2"/>
      <c r="AD190" s="2"/>
      <c r="AE190" s="2"/>
      <c r="AF190" s="2"/>
      <c r="AG190" s="2"/>
      <c r="AH190" s="2"/>
      <c r="AI190" s="2"/>
      <c r="AJ190" s="2"/>
      <c r="AK190" s="2"/>
      <c r="AL190" s="2"/>
      <c r="AM190" s="2"/>
      <c r="AN190" s="2"/>
      <c r="AO190" s="2"/>
      <c r="AP190" s="2"/>
    </row>
    <row r="191" spans="3:42" ht="15.75" customHeight="1" x14ac:dyDescent="0.3">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c r="AC191" s="2"/>
      <c r="AD191" s="2"/>
      <c r="AE191" s="2"/>
      <c r="AF191" s="2"/>
      <c r="AG191" s="2"/>
      <c r="AH191" s="2"/>
      <c r="AI191" s="2"/>
      <c r="AJ191" s="2"/>
      <c r="AK191" s="2"/>
      <c r="AL191" s="2"/>
      <c r="AM191" s="2"/>
      <c r="AN191" s="2"/>
      <c r="AO191" s="2"/>
      <c r="AP191" s="2"/>
    </row>
    <row r="192" spans="3:42" ht="15.75" customHeight="1" x14ac:dyDescent="0.3">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c r="AC192" s="2"/>
      <c r="AD192" s="2"/>
      <c r="AE192" s="2"/>
      <c r="AF192" s="2"/>
      <c r="AG192" s="2"/>
      <c r="AH192" s="2"/>
      <c r="AI192" s="2"/>
      <c r="AJ192" s="2"/>
      <c r="AK192" s="2"/>
      <c r="AL192" s="2"/>
      <c r="AM192" s="2"/>
      <c r="AN192" s="2"/>
      <c r="AO192" s="2"/>
      <c r="AP192" s="2"/>
    </row>
    <row r="193" spans="3:42" ht="15.75" customHeight="1" x14ac:dyDescent="0.3">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c r="AC193" s="2"/>
      <c r="AD193" s="2"/>
      <c r="AE193" s="2"/>
      <c r="AF193" s="2"/>
      <c r="AG193" s="2"/>
      <c r="AH193" s="2"/>
      <c r="AI193" s="2"/>
      <c r="AJ193" s="2"/>
      <c r="AK193" s="2"/>
      <c r="AL193" s="2"/>
      <c r="AM193" s="2"/>
      <c r="AN193" s="2"/>
      <c r="AO193" s="2"/>
      <c r="AP193" s="2"/>
    </row>
    <row r="194" spans="3:42" ht="15.75" customHeight="1" x14ac:dyDescent="0.3">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c r="AC194" s="2"/>
      <c r="AD194" s="2"/>
      <c r="AE194" s="2"/>
      <c r="AF194" s="2"/>
      <c r="AG194" s="2"/>
      <c r="AH194" s="2"/>
      <c r="AI194" s="2"/>
      <c r="AJ194" s="2"/>
      <c r="AK194" s="2"/>
      <c r="AL194" s="2"/>
      <c r="AM194" s="2"/>
      <c r="AN194" s="2"/>
      <c r="AO194" s="2"/>
      <c r="AP194" s="2"/>
    </row>
    <row r="195" spans="3:42" ht="15.75" customHeight="1" x14ac:dyDescent="0.3">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c r="AC195" s="2"/>
      <c r="AD195" s="2"/>
      <c r="AE195" s="2"/>
      <c r="AF195" s="2"/>
      <c r="AG195" s="2"/>
      <c r="AH195" s="2"/>
      <c r="AI195" s="2"/>
      <c r="AJ195" s="2"/>
      <c r="AK195" s="2"/>
      <c r="AL195" s="2"/>
      <c r="AM195" s="2"/>
      <c r="AN195" s="2"/>
      <c r="AO195" s="2"/>
      <c r="AP195" s="2"/>
    </row>
    <row r="196" spans="3:42" ht="15.75" customHeight="1" x14ac:dyDescent="0.3">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c r="AC196" s="2"/>
      <c r="AD196" s="2"/>
      <c r="AE196" s="2"/>
      <c r="AF196" s="2"/>
      <c r="AG196" s="2"/>
      <c r="AH196" s="2"/>
      <c r="AI196" s="2"/>
      <c r="AJ196" s="2"/>
      <c r="AK196" s="2"/>
      <c r="AL196" s="2"/>
      <c r="AM196" s="2"/>
      <c r="AN196" s="2"/>
      <c r="AO196" s="2"/>
      <c r="AP196" s="2"/>
    </row>
    <row r="197" spans="3:42" ht="15.75" customHeight="1" x14ac:dyDescent="0.3">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c r="AC197" s="2"/>
      <c r="AD197" s="2"/>
      <c r="AE197" s="2"/>
      <c r="AF197" s="2"/>
      <c r="AG197" s="2"/>
      <c r="AH197" s="2"/>
      <c r="AI197" s="2"/>
      <c r="AJ197" s="2"/>
      <c r="AK197" s="2"/>
      <c r="AL197" s="2"/>
      <c r="AM197" s="2"/>
      <c r="AN197" s="2"/>
      <c r="AO197" s="2"/>
      <c r="AP197" s="2"/>
    </row>
    <row r="198" spans="3:42" ht="15.75" customHeight="1" x14ac:dyDescent="0.3">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c r="AC198" s="2"/>
      <c r="AD198" s="2"/>
      <c r="AE198" s="2"/>
      <c r="AF198" s="2"/>
      <c r="AG198" s="2"/>
      <c r="AH198" s="2"/>
      <c r="AI198" s="2"/>
      <c r="AJ198" s="2"/>
      <c r="AK198" s="2"/>
      <c r="AL198" s="2"/>
      <c r="AM198" s="2"/>
      <c r="AN198" s="2"/>
      <c r="AO198" s="2"/>
      <c r="AP198" s="2"/>
    </row>
    <row r="199" spans="3:42" ht="15.75" customHeight="1" x14ac:dyDescent="0.3">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c r="AC199" s="2"/>
      <c r="AD199" s="2"/>
      <c r="AE199" s="2"/>
      <c r="AF199" s="2"/>
      <c r="AG199" s="2"/>
      <c r="AH199" s="2"/>
      <c r="AI199" s="2"/>
      <c r="AJ199" s="2"/>
      <c r="AK199" s="2"/>
      <c r="AL199" s="2"/>
      <c r="AM199" s="2"/>
      <c r="AN199" s="2"/>
      <c r="AO199" s="2"/>
      <c r="AP199" s="2"/>
    </row>
    <row r="200" spans="3:42" ht="15.75" customHeight="1" x14ac:dyDescent="0.3">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c r="AC200" s="2"/>
      <c r="AD200" s="2"/>
      <c r="AE200" s="2"/>
      <c r="AF200" s="2"/>
      <c r="AG200" s="2"/>
      <c r="AH200" s="2"/>
      <c r="AI200" s="2"/>
      <c r="AJ200" s="2"/>
      <c r="AK200" s="2"/>
      <c r="AL200" s="2"/>
      <c r="AM200" s="2"/>
      <c r="AN200" s="2"/>
      <c r="AO200" s="2"/>
      <c r="AP200" s="2"/>
    </row>
    <row r="201" spans="3:42" ht="15.75" customHeight="1" x14ac:dyDescent="0.3">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2"/>
      <c r="AI201" s="2"/>
      <c r="AJ201" s="2"/>
      <c r="AK201" s="2"/>
      <c r="AL201" s="2"/>
      <c r="AM201" s="2"/>
      <c r="AN201" s="2"/>
      <c r="AO201" s="2"/>
      <c r="AP201" s="2"/>
    </row>
    <row r="202" spans="3:42" ht="15.75" customHeight="1" x14ac:dyDescent="0.3">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c r="AC202" s="2"/>
      <c r="AD202" s="2"/>
      <c r="AE202" s="2"/>
      <c r="AF202" s="2"/>
      <c r="AG202" s="2"/>
      <c r="AH202" s="2"/>
      <c r="AI202" s="2"/>
      <c r="AJ202" s="2"/>
      <c r="AK202" s="2"/>
      <c r="AL202" s="2"/>
      <c r="AM202" s="2"/>
      <c r="AN202" s="2"/>
      <c r="AO202" s="2"/>
      <c r="AP202" s="2"/>
    </row>
    <row r="203" spans="3:42" ht="15.75" customHeight="1" x14ac:dyDescent="0.3">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c r="AC203" s="2"/>
      <c r="AD203" s="2"/>
      <c r="AE203" s="2"/>
      <c r="AF203" s="2"/>
      <c r="AG203" s="2"/>
      <c r="AH203" s="2"/>
      <c r="AI203" s="2"/>
      <c r="AJ203" s="2"/>
      <c r="AK203" s="2"/>
      <c r="AL203" s="2"/>
      <c r="AM203" s="2"/>
      <c r="AN203" s="2"/>
      <c r="AO203" s="2"/>
      <c r="AP203" s="2"/>
    </row>
    <row r="204" spans="3:42" ht="15.75" customHeight="1" x14ac:dyDescent="0.3">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c r="AC204" s="2"/>
      <c r="AD204" s="2"/>
      <c r="AE204" s="2"/>
      <c r="AF204" s="2"/>
      <c r="AG204" s="2"/>
      <c r="AH204" s="2"/>
      <c r="AI204" s="2"/>
      <c r="AJ204" s="2"/>
      <c r="AK204" s="2"/>
      <c r="AL204" s="2"/>
      <c r="AM204" s="2"/>
      <c r="AN204" s="2"/>
      <c r="AO204" s="2"/>
      <c r="AP204" s="2"/>
    </row>
    <row r="205" spans="3:42" ht="15.75" customHeight="1" x14ac:dyDescent="0.3">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c r="AC205" s="2"/>
      <c r="AD205" s="2"/>
      <c r="AE205" s="2"/>
      <c r="AF205" s="2"/>
      <c r="AG205" s="2"/>
      <c r="AH205" s="2"/>
      <c r="AI205" s="2"/>
      <c r="AJ205" s="2"/>
      <c r="AK205" s="2"/>
      <c r="AL205" s="2"/>
      <c r="AM205" s="2"/>
      <c r="AN205" s="2"/>
      <c r="AO205" s="2"/>
      <c r="AP205" s="2"/>
    </row>
    <row r="206" spans="3:42" ht="15.75" customHeight="1" x14ac:dyDescent="0.3">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c r="AC206" s="2"/>
      <c r="AD206" s="2"/>
      <c r="AE206" s="2"/>
      <c r="AF206" s="2"/>
      <c r="AG206" s="2"/>
      <c r="AH206" s="2"/>
      <c r="AI206" s="2"/>
      <c r="AJ206" s="2"/>
      <c r="AK206" s="2"/>
      <c r="AL206" s="2"/>
      <c r="AM206" s="2"/>
      <c r="AN206" s="2"/>
      <c r="AO206" s="2"/>
      <c r="AP206" s="2"/>
    </row>
    <row r="207" spans="3:42" ht="15.75" customHeight="1" x14ac:dyDescent="0.3">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c r="AC207" s="2"/>
      <c r="AD207" s="2"/>
      <c r="AE207" s="2"/>
      <c r="AF207" s="2"/>
      <c r="AG207" s="2"/>
      <c r="AH207" s="2"/>
      <c r="AI207" s="2"/>
      <c r="AJ207" s="2"/>
      <c r="AK207" s="2"/>
      <c r="AL207" s="2"/>
      <c r="AM207" s="2"/>
      <c r="AN207" s="2"/>
      <c r="AO207" s="2"/>
      <c r="AP207" s="2"/>
    </row>
    <row r="208" spans="3:42" ht="15.75" customHeight="1" x14ac:dyDescent="0.3">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c r="AC208" s="2"/>
      <c r="AD208" s="2"/>
      <c r="AE208" s="2"/>
      <c r="AF208" s="2"/>
      <c r="AG208" s="2"/>
      <c r="AH208" s="2"/>
      <c r="AI208" s="2"/>
      <c r="AJ208" s="2"/>
      <c r="AK208" s="2"/>
      <c r="AL208" s="2"/>
      <c r="AM208" s="2"/>
      <c r="AN208" s="2"/>
      <c r="AO208" s="2"/>
      <c r="AP208" s="2"/>
    </row>
    <row r="209" spans="3:42" ht="15.75" customHeight="1" x14ac:dyDescent="0.3">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c r="AC209" s="2"/>
      <c r="AD209" s="2"/>
      <c r="AE209" s="2"/>
      <c r="AF209" s="2"/>
      <c r="AG209" s="2"/>
      <c r="AH209" s="2"/>
      <c r="AI209" s="2"/>
      <c r="AJ209" s="2"/>
      <c r="AK209" s="2"/>
      <c r="AL209" s="2"/>
      <c r="AM209" s="2"/>
      <c r="AN209" s="2"/>
      <c r="AO209" s="2"/>
      <c r="AP209" s="2"/>
    </row>
    <row r="210" spans="3:42" ht="15.75" customHeight="1" x14ac:dyDescent="0.3">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c r="AC210" s="2"/>
      <c r="AD210" s="2"/>
      <c r="AE210" s="2"/>
      <c r="AF210" s="2"/>
      <c r="AG210" s="2"/>
      <c r="AH210" s="2"/>
      <c r="AI210" s="2"/>
      <c r="AJ210" s="2"/>
      <c r="AK210" s="2"/>
      <c r="AL210" s="2"/>
      <c r="AM210" s="2"/>
      <c r="AN210" s="2"/>
      <c r="AO210" s="2"/>
      <c r="AP210" s="2"/>
    </row>
    <row r="211" spans="3:42" ht="15.75" customHeight="1" x14ac:dyDescent="0.3">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c r="AC211" s="2"/>
      <c r="AD211" s="2"/>
      <c r="AE211" s="2"/>
      <c r="AF211" s="2"/>
      <c r="AG211" s="2"/>
      <c r="AH211" s="2"/>
      <c r="AI211" s="2"/>
      <c r="AJ211" s="2"/>
      <c r="AK211" s="2"/>
      <c r="AL211" s="2"/>
      <c r="AM211" s="2"/>
      <c r="AN211" s="2"/>
      <c r="AO211" s="2"/>
      <c r="AP211" s="2"/>
    </row>
    <row r="212" spans="3:42" ht="15.75" customHeight="1" x14ac:dyDescent="0.3">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c r="AC212" s="2"/>
      <c r="AD212" s="2"/>
      <c r="AE212" s="2"/>
      <c r="AF212" s="2"/>
      <c r="AG212" s="2"/>
      <c r="AH212" s="2"/>
      <c r="AI212" s="2"/>
      <c r="AJ212" s="2"/>
      <c r="AK212" s="2"/>
      <c r="AL212" s="2"/>
      <c r="AM212" s="2"/>
      <c r="AN212" s="2"/>
      <c r="AO212" s="2"/>
      <c r="AP212" s="2"/>
    </row>
    <row r="213" spans="3:42" ht="15.75" customHeight="1" x14ac:dyDescent="0.3">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c r="AC213" s="2"/>
      <c r="AD213" s="2"/>
      <c r="AE213" s="2"/>
      <c r="AF213" s="2"/>
      <c r="AG213" s="2"/>
      <c r="AH213" s="2"/>
      <c r="AI213" s="2"/>
      <c r="AJ213" s="2"/>
      <c r="AK213" s="2"/>
      <c r="AL213" s="2"/>
      <c r="AM213" s="2"/>
      <c r="AN213" s="2"/>
      <c r="AO213" s="2"/>
      <c r="AP213" s="2"/>
    </row>
    <row r="214" spans="3:42" ht="15.75" customHeight="1" x14ac:dyDescent="0.3">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c r="AC214" s="2"/>
      <c r="AD214" s="2"/>
      <c r="AE214" s="2"/>
      <c r="AF214" s="2"/>
      <c r="AG214" s="2"/>
      <c r="AH214" s="2"/>
      <c r="AI214" s="2"/>
      <c r="AJ214" s="2"/>
      <c r="AK214" s="2"/>
      <c r="AL214" s="2"/>
      <c r="AM214" s="2"/>
      <c r="AN214" s="2"/>
      <c r="AO214" s="2"/>
      <c r="AP214" s="2"/>
    </row>
    <row r="215" spans="3:42" ht="15.75" customHeight="1" x14ac:dyDescent="0.3">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c r="AC215" s="2"/>
      <c r="AD215" s="2"/>
      <c r="AE215" s="2"/>
      <c r="AF215" s="2"/>
      <c r="AG215" s="2"/>
      <c r="AH215" s="2"/>
      <c r="AI215" s="2"/>
      <c r="AJ215" s="2"/>
      <c r="AK215" s="2"/>
      <c r="AL215" s="2"/>
      <c r="AM215" s="2"/>
      <c r="AN215" s="2"/>
      <c r="AO215" s="2"/>
      <c r="AP215" s="2"/>
    </row>
    <row r="216" spans="3:42" ht="15.75" customHeight="1" x14ac:dyDescent="0.3">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c r="AC216" s="2"/>
      <c r="AD216" s="2"/>
      <c r="AE216" s="2"/>
      <c r="AF216" s="2"/>
      <c r="AG216" s="2"/>
      <c r="AH216" s="2"/>
      <c r="AI216" s="2"/>
      <c r="AJ216" s="2"/>
      <c r="AK216" s="2"/>
      <c r="AL216" s="2"/>
      <c r="AM216" s="2"/>
      <c r="AN216" s="2"/>
      <c r="AO216" s="2"/>
      <c r="AP216" s="2"/>
    </row>
    <row r="217" spans="3:42" ht="15.75" customHeight="1" x14ac:dyDescent="0.3">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c r="AC217" s="2"/>
      <c r="AD217" s="2"/>
      <c r="AE217" s="2"/>
      <c r="AF217" s="2"/>
      <c r="AG217" s="2"/>
      <c r="AH217" s="2"/>
      <c r="AI217" s="2"/>
      <c r="AJ217" s="2"/>
      <c r="AK217" s="2"/>
      <c r="AL217" s="2"/>
      <c r="AM217" s="2"/>
      <c r="AN217" s="2"/>
      <c r="AO217" s="2"/>
      <c r="AP217" s="2"/>
    </row>
    <row r="218" spans="3:42" ht="15.75" customHeight="1" x14ac:dyDescent="0.3">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c r="AC218" s="2"/>
      <c r="AD218" s="2"/>
      <c r="AE218" s="2"/>
      <c r="AF218" s="2"/>
      <c r="AG218" s="2"/>
      <c r="AH218" s="2"/>
      <c r="AI218" s="2"/>
      <c r="AJ218" s="2"/>
      <c r="AK218" s="2"/>
      <c r="AL218" s="2"/>
      <c r="AM218" s="2"/>
      <c r="AN218" s="2"/>
      <c r="AO218" s="2"/>
      <c r="AP218" s="2"/>
    </row>
    <row r="219" spans="3:42" ht="15.75" customHeight="1" x14ac:dyDescent="0.3">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c r="AC219" s="2"/>
      <c r="AD219" s="2"/>
      <c r="AE219" s="2"/>
      <c r="AF219" s="2"/>
      <c r="AG219" s="2"/>
      <c r="AH219" s="2"/>
      <c r="AI219" s="2"/>
      <c r="AJ219" s="2"/>
      <c r="AK219" s="2"/>
      <c r="AL219" s="2"/>
      <c r="AM219" s="2"/>
      <c r="AN219" s="2"/>
      <c r="AO219" s="2"/>
      <c r="AP219" s="2"/>
    </row>
    <row r="220" spans="3:42" ht="15.75" customHeight="1" x14ac:dyDescent="0.3">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c r="AC220" s="2"/>
      <c r="AD220" s="2"/>
      <c r="AE220" s="2"/>
      <c r="AF220" s="2"/>
      <c r="AG220" s="2"/>
      <c r="AH220" s="2"/>
      <c r="AI220" s="2"/>
      <c r="AJ220" s="2"/>
      <c r="AK220" s="2"/>
      <c r="AL220" s="2"/>
      <c r="AM220" s="2"/>
      <c r="AN220" s="2"/>
      <c r="AO220" s="2"/>
      <c r="AP220" s="2"/>
    </row>
    <row r="221" spans="3:42" ht="15.75" customHeight="1" x14ac:dyDescent="0.3">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c r="AC221" s="2"/>
      <c r="AD221" s="2"/>
      <c r="AE221" s="2"/>
      <c r="AF221" s="2"/>
      <c r="AG221" s="2"/>
      <c r="AH221" s="2"/>
      <c r="AI221" s="2"/>
      <c r="AJ221" s="2"/>
      <c r="AK221" s="2"/>
      <c r="AL221" s="2"/>
      <c r="AM221" s="2"/>
      <c r="AN221" s="2"/>
      <c r="AO221" s="2"/>
      <c r="AP221" s="2"/>
    </row>
    <row r="222" spans="3:42" ht="15.75" customHeight="1" x14ac:dyDescent="0.3">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c r="AC222" s="2"/>
      <c r="AD222" s="2"/>
      <c r="AE222" s="2"/>
      <c r="AF222" s="2"/>
      <c r="AG222" s="2"/>
      <c r="AH222" s="2"/>
      <c r="AI222" s="2"/>
      <c r="AJ222" s="2"/>
      <c r="AK222" s="2"/>
      <c r="AL222" s="2"/>
      <c r="AM222" s="2"/>
      <c r="AN222" s="2"/>
      <c r="AO222" s="2"/>
      <c r="AP222" s="2"/>
    </row>
    <row r="223" spans="3:42" ht="15.75" customHeight="1" x14ac:dyDescent="0.3">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c r="AC223" s="2"/>
      <c r="AD223" s="2"/>
      <c r="AE223" s="2"/>
      <c r="AF223" s="2"/>
      <c r="AG223" s="2"/>
      <c r="AH223" s="2"/>
      <c r="AI223" s="2"/>
      <c r="AJ223" s="2"/>
      <c r="AK223" s="2"/>
      <c r="AL223" s="2"/>
      <c r="AM223" s="2"/>
      <c r="AN223" s="2"/>
      <c r="AO223" s="2"/>
      <c r="AP223" s="2"/>
    </row>
    <row r="224" spans="3:42"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row r="1001" ht="15.75" customHeight="1" x14ac:dyDescent="0.3"/>
    <row r="1002" ht="15.75" customHeight="1" x14ac:dyDescent="0.3"/>
    <row r="1003" ht="15.75" customHeight="1" x14ac:dyDescent="0.3"/>
  </sheetData>
  <mergeCells count="4">
    <mergeCell ref="A3:A4"/>
    <mergeCell ref="B3:B4"/>
    <mergeCell ref="C3:AP3"/>
    <mergeCell ref="AQ3:AQ4"/>
  </mergeCells>
  <pageMargins left="0.7" right="0.7" top="0.75" bottom="0.75" header="0" footer="0"/>
  <pageSetup paperSize="9" orientation="portrait"/>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FF9900"/>
  </sheetPr>
  <dimension ref="A1:Y1000"/>
  <sheetViews>
    <sheetView workbookViewId="0"/>
  </sheetViews>
  <sheetFormatPr baseColWidth="10" defaultColWidth="14.44140625" defaultRowHeight="15" customHeight="1" x14ac:dyDescent="0.3"/>
  <cols>
    <col min="1" max="1" width="53.6640625" customWidth="1"/>
    <col min="2" max="2" width="17" customWidth="1"/>
    <col min="3" max="21" width="4.88671875" customWidth="1"/>
    <col min="22" max="22" width="3.88671875" customWidth="1"/>
    <col min="23" max="23" width="3.33203125" customWidth="1"/>
    <col min="24" max="24" width="3.44140625" customWidth="1"/>
    <col min="25" max="25" width="10.6640625" customWidth="1"/>
  </cols>
  <sheetData>
    <row r="1" spans="1:25" ht="21" x14ac:dyDescent="0.4">
      <c r="A1" s="1" t="s">
        <v>0</v>
      </c>
    </row>
    <row r="3" spans="1:25" ht="14.4" x14ac:dyDescent="0.3">
      <c r="A3" s="46" t="s">
        <v>4</v>
      </c>
      <c r="B3" s="46" t="s">
        <v>5</v>
      </c>
      <c r="C3" s="48" t="s">
        <v>7</v>
      </c>
      <c r="D3" s="49"/>
      <c r="E3" s="49"/>
      <c r="F3" s="49"/>
      <c r="G3" s="49"/>
      <c r="H3" s="49"/>
      <c r="I3" s="49"/>
      <c r="J3" s="49"/>
      <c r="K3" s="49"/>
      <c r="L3" s="49"/>
      <c r="M3" s="49"/>
      <c r="N3" s="49"/>
      <c r="O3" s="49"/>
      <c r="P3" s="49"/>
      <c r="Q3" s="49"/>
      <c r="R3" s="49"/>
      <c r="S3" s="49"/>
      <c r="T3" s="49"/>
      <c r="U3" s="49"/>
      <c r="V3" s="49"/>
      <c r="W3" s="49"/>
      <c r="X3" s="50"/>
      <c r="Y3" s="53" t="s">
        <v>8</v>
      </c>
    </row>
    <row r="4" spans="1:25" ht="14.4" x14ac:dyDescent="0.3">
      <c r="A4" s="47"/>
      <c r="B4" s="47"/>
      <c r="C4" s="4">
        <v>1</v>
      </c>
      <c r="D4" s="4">
        <v>2</v>
      </c>
      <c r="E4" s="4">
        <v>3</v>
      </c>
      <c r="F4" s="4">
        <v>4</v>
      </c>
      <c r="G4" s="4">
        <v>5</v>
      </c>
      <c r="H4" s="4">
        <v>6</v>
      </c>
      <c r="I4" s="4">
        <v>7</v>
      </c>
      <c r="J4" s="4">
        <v>8</v>
      </c>
      <c r="K4" s="4">
        <v>9</v>
      </c>
      <c r="L4" s="4">
        <v>10</v>
      </c>
      <c r="M4" s="4">
        <v>11</v>
      </c>
      <c r="N4" s="4">
        <v>12</v>
      </c>
      <c r="O4" s="4">
        <v>13</v>
      </c>
      <c r="P4" s="4">
        <v>14</v>
      </c>
      <c r="Q4" s="4">
        <v>15</v>
      </c>
      <c r="R4" s="4">
        <v>16</v>
      </c>
      <c r="S4" s="4">
        <v>17</v>
      </c>
      <c r="T4" s="4">
        <v>18</v>
      </c>
      <c r="U4" s="4">
        <v>19</v>
      </c>
      <c r="V4" s="4">
        <v>20</v>
      </c>
      <c r="W4" s="4">
        <v>21</v>
      </c>
      <c r="X4" s="4">
        <v>22</v>
      </c>
      <c r="Y4" s="51"/>
    </row>
    <row r="5" spans="1:25" ht="72" x14ac:dyDescent="0.3">
      <c r="A5" s="5" t="s">
        <v>9</v>
      </c>
      <c r="B5" s="6">
        <v>14</v>
      </c>
      <c r="C5" s="7"/>
      <c r="D5" s="8"/>
      <c r="E5" s="8"/>
      <c r="F5" s="8"/>
      <c r="G5" s="8"/>
      <c r="H5" s="8"/>
      <c r="I5" s="8"/>
      <c r="J5" s="8"/>
      <c r="K5" s="8"/>
      <c r="L5" s="8"/>
      <c r="M5" s="8"/>
      <c r="N5" s="8"/>
      <c r="O5" s="8"/>
      <c r="P5" s="8"/>
      <c r="Q5" s="8"/>
      <c r="R5" s="8"/>
      <c r="S5" s="8"/>
      <c r="T5" s="8"/>
      <c r="U5" s="8"/>
      <c r="V5" s="8"/>
      <c r="W5" s="8"/>
      <c r="X5" s="8"/>
      <c r="Y5" s="16">
        <f t="shared" ref="Y5:Y8" si="0">SUM(C5:V5)</f>
        <v>0</v>
      </c>
    </row>
    <row r="6" spans="1:25" ht="72" x14ac:dyDescent="0.3">
      <c r="A6" s="17" t="s">
        <v>12</v>
      </c>
      <c r="B6" s="19">
        <v>6</v>
      </c>
      <c r="C6" s="20"/>
      <c r="D6" s="23"/>
      <c r="E6" s="23"/>
      <c r="F6" s="23"/>
      <c r="G6" s="23"/>
      <c r="H6" s="23"/>
      <c r="I6" s="23"/>
      <c r="J6" s="23"/>
      <c r="K6" s="23"/>
      <c r="L6" s="23"/>
      <c r="M6" s="23"/>
      <c r="N6" s="23"/>
      <c r="O6" s="23"/>
      <c r="P6" s="23"/>
      <c r="Q6" s="23"/>
      <c r="R6" s="23"/>
      <c r="S6" s="23"/>
      <c r="T6" s="23"/>
      <c r="U6" s="23"/>
      <c r="V6" s="23"/>
      <c r="W6" s="23"/>
      <c r="X6" s="23"/>
      <c r="Y6" s="16">
        <f t="shared" si="0"/>
        <v>0</v>
      </c>
    </row>
    <row r="7" spans="1:25" ht="72" x14ac:dyDescent="0.3">
      <c r="A7" s="27" t="s">
        <v>16</v>
      </c>
      <c r="B7" s="30">
        <v>3</v>
      </c>
      <c r="C7" s="20"/>
      <c r="D7" s="23"/>
      <c r="E7" s="23"/>
      <c r="F7" s="23"/>
      <c r="G7" s="23"/>
      <c r="H7" s="23"/>
      <c r="I7" s="23"/>
      <c r="J7" s="23"/>
      <c r="K7" s="23"/>
      <c r="L7" s="23"/>
      <c r="M7" s="23"/>
      <c r="N7" s="23"/>
      <c r="O7" s="23"/>
      <c r="P7" s="23"/>
      <c r="Q7" s="23"/>
      <c r="R7" s="23"/>
      <c r="S7" s="23"/>
      <c r="T7" s="23"/>
      <c r="U7" s="23"/>
      <c r="V7" s="23"/>
      <c r="W7" s="23"/>
      <c r="X7" s="23"/>
      <c r="Y7" s="16">
        <f t="shared" si="0"/>
        <v>0</v>
      </c>
    </row>
    <row r="8" spans="1:25" ht="72" x14ac:dyDescent="0.3">
      <c r="A8" s="27" t="s">
        <v>18</v>
      </c>
      <c r="B8" s="30">
        <v>4</v>
      </c>
      <c r="C8" s="35"/>
      <c r="D8" s="36"/>
      <c r="E8" s="36"/>
      <c r="F8" s="36"/>
      <c r="G8" s="36"/>
      <c r="H8" s="36"/>
      <c r="I8" s="36"/>
      <c r="J8" s="36"/>
      <c r="K8" s="36"/>
      <c r="L8" s="36"/>
      <c r="M8" s="36"/>
      <c r="N8" s="36"/>
      <c r="O8" s="36"/>
      <c r="P8" s="36"/>
      <c r="Q8" s="36"/>
      <c r="R8" s="36"/>
      <c r="S8" s="36"/>
      <c r="T8" s="36"/>
      <c r="U8" s="36"/>
      <c r="V8" s="36"/>
      <c r="W8" s="36"/>
      <c r="X8" s="36"/>
      <c r="Y8" s="16">
        <f t="shared" si="0"/>
        <v>0</v>
      </c>
    </row>
    <row r="10" spans="1:25" ht="14.4" x14ac:dyDescent="0.3">
      <c r="A10" s="37" t="s">
        <v>20</v>
      </c>
      <c r="B10" s="38">
        <f>SUM(B5:B9)</f>
        <v>27</v>
      </c>
      <c r="C10" s="38">
        <f t="shared" ref="C10:X10" si="1">B10-SUM(C5:C8)</f>
        <v>27</v>
      </c>
      <c r="D10" s="38">
        <f t="shared" si="1"/>
        <v>27</v>
      </c>
      <c r="E10" s="38">
        <f t="shared" si="1"/>
        <v>27</v>
      </c>
      <c r="F10" s="38">
        <f t="shared" si="1"/>
        <v>27</v>
      </c>
      <c r="G10" s="38">
        <f t="shared" si="1"/>
        <v>27</v>
      </c>
      <c r="H10" s="38">
        <f t="shared" si="1"/>
        <v>27</v>
      </c>
      <c r="I10" s="38">
        <f t="shared" si="1"/>
        <v>27</v>
      </c>
      <c r="J10" s="38">
        <f t="shared" si="1"/>
        <v>27</v>
      </c>
      <c r="K10" s="38">
        <f t="shared" si="1"/>
        <v>27</v>
      </c>
      <c r="L10" s="38">
        <f t="shared" si="1"/>
        <v>27</v>
      </c>
      <c r="M10" s="38">
        <f t="shared" si="1"/>
        <v>27</v>
      </c>
      <c r="N10" s="38">
        <f t="shared" si="1"/>
        <v>27</v>
      </c>
      <c r="O10" s="38">
        <f t="shared" si="1"/>
        <v>27</v>
      </c>
      <c r="P10" s="38">
        <f t="shared" si="1"/>
        <v>27</v>
      </c>
      <c r="Q10" s="38">
        <f t="shared" si="1"/>
        <v>27</v>
      </c>
      <c r="R10" s="38">
        <f t="shared" si="1"/>
        <v>27</v>
      </c>
      <c r="S10" s="38">
        <f t="shared" si="1"/>
        <v>27</v>
      </c>
      <c r="T10" s="38">
        <f t="shared" si="1"/>
        <v>27</v>
      </c>
      <c r="U10" s="38">
        <f t="shared" si="1"/>
        <v>27</v>
      </c>
      <c r="V10" s="38">
        <f t="shared" si="1"/>
        <v>27</v>
      </c>
      <c r="W10" s="38">
        <f t="shared" si="1"/>
        <v>27</v>
      </c>
      <c r="X10" s="38">
        <f t="shared" si="1"/>
        <v>27</v>
      </c>
    </row>
    <row r="12" spans="1:25" ht="14.4" x14ac:dyDescent="0.3">
      <c r="A12" s="37" t="s">
        <v>27</v>
      </c>
      <c r="B12" s="38">
        <f>SUM(B5:B8)</f>
        <v>27</v>
      </c>
      <c r="C12" s="38">
        <f t="shared" ref="C12:X12" si="2">ROUND(B12-(SUM($B$5:$B$8)/22),1)</f>
        <v>25.8</v>
      </c>
      <c r="D12" s="38">
        <f t="shared" si="2"/>
        <v>24.6</v>
      </c>
      <c r="E12" s="38">
        <f t="shared" si="2"/>
        <v>23.4</v>
      </c>
      <c r="F12" s="38">
        <f t="shared" si="2"/>
        <v>22.2</v>
      </c>
      <c r="G12" s="38">
        <f t="shared" si="2"/>
        <v>21</v>
      </c>
      <c r="H12" s="38">
        <f t="shared" si="2"/>
        <v>19.8</v>
      </c>
      <c r="I12" s="38">
        <f t="shared" si="2"/>
        <v>18.600000000000001</v>
      </c>
      <c r="J12" s="38">
        <f t="shared" si="2"/>
        <v>17.399999999999999</v>
      </c>
      <c r="K12" s="38">
        <f t="shared" si="2"/>
        <v>16.2</v>
      </c>
      <c r="L12" s="38">
        <f t="shared" si="2"/>
        <v>15</v>
      </c>
      <c r="M12" s="38">
        <f t="shared" si="2"/>
        <v>13.8</v>
      </c>
      <c r="N12" s="38">
        <f t="shared" si="2"/>
        <v>12.6</v>
      </c>
      <c r="O12" s="38">
        <f t="shared" si="2"/>
        <v>11.4</v>
      </c>
      <c r="P12" s="38">
        <f t="shared" si="2"/>
        <v>10.199999999999999</v>
      </c>
      <c r="Q12" s="38">
        <f t="shared" si="2"/>
        <v>9</v>
      </c>
      <c r="R12" s="38">
        <f t="shared" si="2"/>
        <v>7.8</v>
      </c>
      <c r="S12" s="38">
        <f t="shared" si="2"/>
        <v>6.6</v>
      </c>
      <c r="T12" s="38">
        <f t="shared" si="2"/>
        <v>5.4</v>
      </c>
      <c r="U12" s="38">
        <f t="shared" si="2"/>
        <v>4.2</v>
      </c>
      <c r="V12" s="38">
        <f t="shared" si="2"/>
        <v>3</v>
      </c>
      <c r="W12" s="38">
        <f t="shared" si="2"/>
        <v>1.8</v>
      </c>
      <c r="X12" s="38">
        <f t="shared" si="2"/>
        <v>0.6</v>
      </c>
    </row>
    <row r="14" spans="1:25" ht="14.4" x14ac:dyDescent="0.3">
      <c r="A14" s="42"/>
      <c r="B14" s="43"/>
      <c r="C14" s="42"/>
      <c r="D14" s="42"/>
      <c r="E14" s="42"/>
      <c r="F14" s="42"/>
      <c r="G14" s="42"/>
      <c r="H14" s="42"/>
      <c r="I14" s="42"/>
    </row>
    <row r="15" spans="1:25" ht="14.4" x14ac:dyDescent="0.3">
      <c r="A15" s="42"/>
      <c r="B15" s="43"/>
      <c r="C15" s="42"/>
      <c r="D15" s="42"/>
      <c r="E15" s="42"/>
      <c r="F15" s="42"/>
      <c r="G15" s="43"/>
      <c r="H15" s="42"/>
      <c r="I15" s="42"/>
    </row>
    <row r="16" spans="1:25" ht="14.4" x14ac:dyDescent="0.3">
      <c r="A16" s="42"/>
      <c r="B16" s="43"/>
      <c r="C16" s="42"/>
      <c r="D16" s="42"/>
      <c r="E16" s="42"/>
      <c r="F16" s="42"/>
      <c r="G16" s="43"/>
      <c r="H16" s="42"/>
      <c r="I16" s="42"/>
    </row>
    <row r="17" spans="1:9" ht="14.4" x14ac:dyDescent="0.3">
      <c r="A17" s="42"/>
      <c r="B17" s="43"/>
      <c r="C17" s="42"/>
      <c r="D17" s="42"/>
      <c r="E17" s="42"/>
      <c r="F17" s="42"/>
      <c r="G17" s="43"/>
      <c r="H17" s="42"/>
      <c r="I17" s="42"/>
    </row>
    <row r="18" spans="1:9" ht="14.4" x14ac:dyDescent="0.3">
      <c r="A18" s="42"/>
      <c r="B18" s="43"/>
      <c r="C18" s="42"/>
      <c r="D18" s="42"/>
      <c r="E18" s="42"/>
      <c r="F18" s="42"/>
      <c r="G18" s="43"/>
      <c r="H18" s="42"/>
      <c r="I18" s="42"/>
    </row>
    <row r="19" spans="1:9" ht="15.75" customHeight="1" x14ac:dyDescent="0.3">
      <c r="A19" s="42"/>
      <c r="B19" s="43"/>
      <c r="C19" s="42"/>
      <c r="D19" s="42"/>
      <c r="E19" s="42"/>
      <c r="F19" s="42"/>
      <c r="G19" s="43"/>
      <c r="H19" s="42"/>
      <c r="I19" s="42"/>
    </row>
    <row r="20" spans="1:9" ht="15.75" customHeight="1" x14ac:dyDescent="0.3">
      <c r="A20" s="42"/>
      <c r="B20" s="43"/>
      <c r="C20" s="42"/>
      <c r="D20" s="42"/>
      <c r="E20" s="42"/>
      <c r="F20" s="42"/>
      <c r="G20" s="43"/>
      <c r="H20" s="42"/>
      <c r="I20" s="42"/>
    </row>
    <row r="21" spans="1:9" ht="15.75" customHeight="1" x14ac:dyDescent="0.3">
      <c r="A21" s="42"/>
      <c r="B21" s="43"/>
      <c r="C21" s="42"/>
      <c r="D21" s="42"/>
      <c r="E21" s="42"/>
      <c r="F21" s="42"/>
      <c r="G21" s="42"/>
      <c r="H21" s="42"/>
      <c r="I21" s="42"/>
    </row>
    <row r="22" spans="1:9" ht="15.75" customHeight="1" x14ac:dyDescent="0.3">
      <c r="A22" s="42"/>
      <c r="B22" s="43"/>
      <c r="C22" s="42"/>
      <c r="D22" s="42"/>
      <c r="E22" s="42"/>
      <c r="F22" s="42"/>
      <c r="G22" s="42"/>
      <c r="H22" s="42"/>
      <c r="I22" s="42"/>
    </row>
    <row r="23" spans="1:9" ht="15.75" customHeight="1" x14ac:dyDescent="0.3">
      <c r="A23" s="42"/>
      <c r="B23" s="43"/>
      <c r="C23" s="42"/>
      <c r="D23" s="42"/>
      <c r="E23" s="42"/>
      <c r="F23" s="42"/>
      <c r="G23" s="42"/>
      <c r="H23" s="42"/>
      <c r="I23" s="42"/>
    </row>
    <row r="24" spans="1:9" ht="15.75" customHeight="1" x14ac:dyDescent="0.3"/>
    <row r="25" spans="1:9" ht="15.75" customHeight="1" x14ac:dyDescent="0.3"/>
    <row r="26" spans="1:9" ht="15.75" customHeight="1" x14ac:dyDescent="0.3"/>
    <row r="27" spans="1:9" ht="15.75" customHeight="1" x14ac:dyDescent="0.3"/>
    <row r="28" spans="1:9" ht="15.75" customHeight="1" x14ac:dyDescent="0.3"/>
    <row r="29" spans="1:9" ht="15.75" customHeight="1" x14ac:dyDescent="0.3"/>
    <row r="30" spans="1:9" ht="15.75" customHeight="1" x14ac:dyDescent="0.3"/>
    <row r="31" spans="1:9" ht="15.75" customHeight="1" x14ac:dyDescent="0.3"/>
    <row r="32" spans="1:9"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sheetData>
  <mergeCells count="4">
    <mergeCell ref="A3:A4"/>
    <mergeCell ref="B3:B4"/>
    <mergeCell ref="C3:X3"/>
    <mergeCell ref="Y3:Y4"/>
  </mergeCells>
  <pageMargins left="0.7" right="0.7" top="0.75" bottom="0.75" header="0" footer="0"/>
  <pageSetup paperSize="9" orientation="portrait"/>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FFE599"/>
  </sheetPr>
  <dimension ref="A1:W1002"/>
  <sheetViews>
    <sheetView tabSelected="1" topLeftCell="A6" workbookViewId="0">
      <selection activeCell="K20" sqref="K20"/>
    </sheetView>
  </sheetViews>
  <sheetFormatPr baseColWidth="10" defaultColWidth="14.44140625" defaultRowHeight="15" customHeight="1" x14ac:dyDescent="0.3"/>
  <cols>
    <col min="1" max="1" width="64.44140625" customWidth="1"/>
    <col min="2" max="2" width="17" customWidth="1"/>
    <col min="3" max="11" width="4.88671875" customWidth="1"/>
    <col min="12" max="12" width="3.33203125" customWidth="1"/>
    <col min="13" max="18" width="4.88671875" customWidth="1"/>
    <col min="19" max="21" width="3.88671875" customWidth="1"/>
    <col min="22" max="22" width="3.33203125" customWidth="1"/>
    <col min="23" max="23" width="10.6640625" customWidth="1"/>
  </cols>
  <sheetData>
    <row r="1" spans="1:23" ht="21" x14ac:dyDescent="0.4">
      <c r="A1" s="1" t="s">
        <v>1</v>
      </c>
    </row>
    <row r="3" spans="1:23" ht="14.4" x14ac:dyDescent="0.3">
      <c r="A3" s="46" t="s">
        <v>4</v>
      </c>
      <c r="B3" s="46" t="s">
        <v>5</v>
      </c>
      <c r="C3" s="48" t="s">
        <v>7</v>
      </c>
      <c r="D3" s="49"/>
      <c r="E3" s="49"/>
      <c r="F3" s="49"/>
      <c r="G3" s="49"/>
      <c r="H3" s="49"/>
      <c r="I3" s="49"/>
      <c r="J3" s="49"/>
      <c r="K3" s="49"/>
      <c r="L3" s="49"/>
      <c r="M3" s="49"/>
      <c r="N3" s="49"/>
      <c r="O3" s="49"/>
      <c r="P3" s="49"/>
      <c r="Q3" s="49"/>
      <c r="R3" s="49"/>
      <c r="S3" s="49"/>
      <c r="T3" s="49"/>
      <c r="U3" s="49"/>
      <c r="V3" s="50"/>
      <c r="W3" s="53" t="s">
        <v>8</v>
      </c>
    </row>
    <row r="4" spans="1:23" ht="14.4" x14ac:dyDescent="0.3">
      <c r="A4" s="47"/>
      <c r="B4" s="47"/>
      <c r="C4" s="4">
        <v>1</v>
      </c>
      <c r="D4" s="4">
        <v>2</v>
      </c>
      <c r="E4" s="4">
        <v>3</v>
      </c>
      <c r="F4" s="4">
        <v>4</v>
      </c>
      <c r="G4" s="4">
        <v>5</v>
      </c>
      <c r="H4" s="4">
        <v>6</v>
      </c>
      <c r="I4" s="4">
        <v>7</v>
      </c>
      <c r="J4" s="4">
        <v>8</v>
      </c>
      <c r="K4" s="4">
        <v>9</v>
      </c>
      <c r="L4" s="4">
        <v>10</v>
      </c>
      <c r="M4" s="4">
        <v>11</v>
      </c>
      <c r="N4" s="4">
        <v>12</v>
      </c>
      <c r="O4" s="4">
        <v>13</v>
      </c>
      <c r="P4" s="4">
        <v>14</v>
      </c>
      <c r="Q4" s="4">
        <v>15</v>
      </c>
      <c r="R4" s="4">
        <v>16</v>
      </c>
      <c r="S4" s="4">
        <v>17</v>
      </c>
      <c r="T4" s="4">
        <v>18</v>
      </c>
      <c r="U4" s="4">
        <v>19</v>
      </c>
      <c r="V4" s="4">
        <v>20</v>
      </c>
      <c r="W4" s="51"/>
    </row>
    <row r="5" spans="1:23" ht="72" x14ac:dyDescent="0.3">
      <c r="A5" s="9" t="s">
        <v>11</v>
      </c>
      <c r="B5" s="11">
        <v>10</v>
      </c>
      <c r="C5" s="7"/>
      <c r="D5" s="8"/>
      <c r="E5" s="8"/>
      <c r="F5" s="8"/>
      <c r="G5" s="8"/>
      <c r="H5" s="8"/>
      <c r="I5" s="8"/>
      <c r="J5" s="8"/>
      <c r="K5" s="8"/>
      <c r="L5" s="8"/>
      <c r="M5" s="8"/>
      <c r="N5" s="8"/>
      <c r="O5" s="8"/>
      <c r="P5" s="8"/>
      <c r="Q5" s="8"/>
      <c r="R5" s="8"/>
      <c r="S5" s="8"/>
      <c r="T5" s="8"/>
      <c r="U5" s="8"/>
      <c r="V5" s="8"/>
      <c r="W5" s="3">
        <f t="shared" ref="W5:W12" si="0">SUM(C5:V5)</f>
        <v>0</v>
      </c>
    </row>
    <row r="6" spans="1:23" ht="72" x14ac:dyDescent="0.3">
      <c r="A6" s="18" t="s">
        <v>13</v>
      </c>
      <c r="B6" s="21">
        <v>18</v>
      </c>
      <c r="C6" s="20"/>
      <c r="D6" s="23"/>
      <c r="E6" s="23"/>
      <c r="F6" s="23"/>
      <c r="G6" s="23"/>
      <c r="H6" s="23"/>
      <c r="I6" s="23"/>
      <c r="J6" s="23"/>
      <c r="K6" s="23"/>
      <c r="L6" s="23"/>
      <c r="M6" s="23"/>
      <c r="N6" s="23"/>
      <c r="O6" s="23"/>
      <c r="P6" s="23"/>
      <c r="Q6" s="23"/>
      <c r="R6" s="23"/>
      <c r="S6" s="23"/>
      <c r="T6" s="23"/>
      <c r="U6" s="23"/>
      <c r="V6" s="23"/>
      <c r="W6" s="29">
        <f t="shared" si="0"/>
        <v>0</v>
      </c>
    </row>
    <row r="7" spans="1:23" ht="57.6" x14ac:dyDescent="0.3">
      <c r="A7" s="18" t="s">
        <v>17</v>
      </c>
      <c r="B7" s="32">
        <v>18</v>
      </c>
      <c r="C7" s="20"/>
      <c r="D7" s="23"/>
      <c r="E7" s="23"/>
      <c r="F7" s="23"/>
      <c r="G7" s="23"/>
      <c r="H7" s="23"/>
      <c r="I7" s="23"/>
      <c r="J7" s="23"/>
      <c r="K7" s="23"/>
      <c r="L7" s="23"/>
      <c r="M7" s="23"/>
      <c r="N7" s="23"/>
      <c r="O7" s="23"/>
      <c r="P7" s="23"/>
      <c r="Q7" s="23"/>
      <c r="R7" s="23"/>
      <c r="S7" s="23"/>
      <c r="T7" s="23"/>
      <c r="U7" s="23"/>
      <c r="V7" s="23"/>
      <c r="W7" s="29">
        <f t="shared" si="0"/>
        <v>0</v>
      </c>
    </row>
    <row r="8" spans="1:23" ht="57.6" x14ac:dyDescent="0.3">
      <c r="A8" s="18" t="s">
        <v>19</v>
      </c>
      <c r="B8" s="21">
        <v>12</v>
      </c>
      <c r="C8" s="20"/>
      <c r="D8" s="23"/>
      <c r="E8" s="23"/>
      <c r="F8" s="23"/>
      <c r="G8" s="23"/>
      <c r="H8" s="23"/>
      <c r="I8" s="23"/>
      <c r="J8" s="23"/>
      <c r="K8" s="23"/>
      <c r="L8" s="23"/>
      <c r="M8" s="23"/>
      <c r="N8" s="23"/>
      <c r="O8" s="23"/>
      <c r="P8" s="23"/>
      <c r="Q8" s="23"/>
      <c r="R8" s="23"/>
      <c r="S8" s="23"/>
      <c r="T8" s="23"/>
      <c r="U8" s="23"/>
      <c r="V8" s="23"/>
      <c r="W8" s="29">
        <f t="shared" si="0"/>
        <v>0</v>
      </c>
    </row>
    <row r="9" spans="1:23" ht="57.6" x14ac:dyDescent="0.3">
      <c r="A9" s="18" t="s">
        <v>21</v>
      </c>
      <c r="B9" s="21">
        <v>5</v>
      </c>
      <c r="C9" s="20"/>
      <c r="D9" s="23"/>
      <c r="E9" s="23"/>
      <c r="F9" s="23"/>
      <c r="G9" s="23"/>
      <c r="H9" s="23"/>
      <c r="I9" s="23"/>
      <c r="J9" s="23"/>
      <c r="K9" s="23"/>
      <c r="L9" s="23"/>
      <c r="M9" s="23"/>
      <c r="N9" s="23"/>
      <c r="O9" s="23"/>
      <c r="P9" s="23"/>
      <c r="Q9" s="23"/>
      <c r="R9" s="23"/>
      <c r="S9" s="23"/>
      <c r="T9" s="23"/>
      <c r="U9" s="23"/>
      <c r="V9" s="23"/>
      <c r="W9" s="29">
        <f t="shared" si="0"/>
        <v>0</v>
      </c>
    </row>
    <row r="10" spans="1:23" ht="72" x14ac:dyDescent="0.3">
      <c r="A10" s="18" t="s">
        <v>22</v>
      </c>
      <c r="B10" s="39">
        <v>8</v>
      </c>
      <c r="C10" s="23"/>
      <c r="D10" s="23"/>
      <c r="E10" s="23"/>
      <c r="F10" s="23"/>
      <c r="G10" s="23"/>
      <c r="H10" s="23"/>
      <c r="I10" s="23"/>
      <c r="J10" s="23"/>
      <c r="K10" s="23"/>
      <c r="L10" s="23"/>
      <c r="M10" s="23"/>
      <c r="N10" s="23"/>
      <c r="O10" s="23"/>
      <c r="P10" s="23"/>
      <c r="Q10" s="23"/>
      <c r="R10" s="23"/>
      <c r="S10" s="23"/>
      <c r="T10" s="23"/>
      <c r="U10" s="23"/>
      <c r="V10" s="23"/>
      <c r="W10" s="29">
        <f t="shared" si="0"/>
        <v>0</v>
      </c>
    </row>
    <row r="11" spans="1:23" ht="48.75" customHeight="1" x14ac:dyDescent="0.3">
      <c r="A11" s="18" t="s">
        <v>24</v>
      </c>
      <c r="B11" s="39">
        <v>12</v>
      </c>
      <c r="C11" s="23"/>
      <c r="D11" s="23"/>
      <c r="E11" s="23"/>
      <c r="F11" s="23"/>
      <c r="G11" s="23"/>
      <c r="H11" s="23"/>
      <c r="I11" s="23"/>
      <c r="J11" s="23"/>
      <c r="K11" s="23"/>
      <c r="L11" s="23"/>
      <c r="M11" s="23"/>
      <c r="N11" s="23"/>
      <c r="O11" s="23"/>
      <c r="P11" s="23"/>
      <c r="Q11" s="23"/>
      <c r="R11" s="23"/>
      <c r="S11" s="23"/>
      <c r="T11" s="23"/>
      <c r="U11" s="23"/>
      <c r="V11" s="23"/>
      <c r="W11" s="29">
        <f t="shared" si="0"/>
        <v>0</v>
      </c>
    </row>
    <row r="12" spans="1:23" ht="57.6" x14ac:dyDescent="0.3">
      <c r="A12" s="18" t="s">
        <v>25</v>
      </c>
      <c r="B12" s="39">
        <v>3</v>
      </c>
      <c r="C12" s="36"/>
      <c r="D12" s="36"/>
      <c r="E12" s="36"/>
      <c r="F12" s="36"/>
      <c r="G12" s="36"/>
      <c r="H12" s="36"/>
      <c r="I12" s="36"/>
      <c r="J12" s="36"/>
      <c r="K12" s="36"/>
      <c r="L12" s="36"/>
      <c r="M12" s="36"/>
      <c r="N12" s="36"/>
      <c r="O12" s="36"/>
      <c r="P12" s="36"/>
      <c r="Q12" s="36"/>
      <c r="R12" s="36"/>
      <c r="S12" s="36"/>
      <c r="T12" s="36"/>
      <c r="U12" s="36"/>
      <c r="V12" s="36"/>
      <c r="W12" s="41">
        <f t="shared" si="0"/>
        <v>0</v>
      </c>
    </row>
    <row r="14" spans="1:23" ht="14.4" x14ac:dyDescent="0.3">
      <c r="A14" s="37" t="s">
        <v>20</v>
      </c>
      <c r="B14" s="38">
        <f>SUM(B5:B13)-27</f>
        <v>59</v>
      </c>
      <c r="C14" s="38">
        <f t="shared" ref="C14:V14" si="1">B14-SUM(C5:C12)</f>
        <v>59</v>
      </c>
      <c r="D14" s="38">
        <f t="shared" si="1"/>
        <v>59</v>
      </c>
      <c r="E14" s="38">
        <f t="shared" si="1"/>
        <v>59</v>
      </c>
      <c r="F14" s="38">
        <f t="shared" si="1"/>
        <v>59</v>
      </c>
      <c r="G14" s="38">
        <f t="shared" si="1"/>
        <v>59</v>
      </c>
      <c r="H14" s="38">
        <f t="shared" si="1"/>
        <v>59</v>
      </c>
      <c r="I14" s="38">
        <f t="shared" si="1"/>
        <v>59</v>
      </c>
      <c r="J14" s="38">
        <f t="shared" si="1"/>
        <v>59</v>
      </c>
      <c r="K14" s="38">
        <f t="shared" si="1"/>
        <v>59</v>
      </c>
      <c r="L14" s="38">
        <f t="shared" si="1"/>
        <v>59</v>
      </c>
      <c r="M14" s="38">
        <f t="shared" si="1"/>
        <v>59</v>
      </c>
      <c r="N14" s="38">
        <f t="shared" si="1"/>
        <v>59</v>
      </c>
      <c r="O14" s="38">
        <f t="shared" si="1"/>
        <v>59</v>
      </c>
      <c r="P14" s="38">
        <f t="shared" si="1"/>
        <v>59</v>
      </c>
      <c r="Q14" s="38">
        <f t="shared" si="1"/>
        <v>59</v>
      </c>
      <c r="R14" s="38">
        <f t="shared" si="1"/>
        <v>59</v>
      </c>
      <c r="S14" s="38">
        <f t="shared" si="1"/>
        <v>59</v>
      </c>
      <c r="T14" s="38">
        <f t="shared" si="1"/>
        <v>59</v>
      </c>
      <c r="U14" s="38">
        <f t="shared" si="1"/>
        <v>59</v>
      </c>
      <c r="V14" s="38">
        <f t="shared" si="1"/>
        <v>59</v>
      </c>
    </row>
    <row r="16" spans="1:23" ht="14.4" x14ac:dyDescent="0.3">
      <c r="A16" s="37" t="s">
        <v>27</v>
      </c>
      <c r="B16" s="38">
        <f>SUM(B5:B12)</f>
        <v>86</v>
      </c>
      <c r="C16" s="38">
        <f t="shared" ref="C16:V16" si="2">B16-(SUM($B$5:$B$12)/20)</f>
        <v>81.7</v>
      </c>
      <c r="D16" s="38">
        <f t="shared" si="2"/>
        <v>77.400000000000006</v>
      </c>
      <c r="E16" s="38">
        <f t="shared" si="2"/>
        <v>73.100000000000009</v>
      </c>
      <c r="F16" s="38">
        <f t="shared" si="2"/>
        <v>68.800000000000011</v>
      </c>
      <c r="G16" s="38">
        <f t="shared" si="2"/>
        <v>64.500000000000014</v>
      </c>
      <c r="H16" s="38">
        <f t="shared" si="2"/>
        <v>60.200000000000017</v>
      </c>
      <c r="I16" s="38">
        <f t="shared" si="2"/>
        <v>55.90000000000002</v>
      </c>
      <c r="J16" s="38">
        <f t="shared" si="2"/>
        <v>51.600000000000023</v>
      </c>
      <c r="K16" s="38">
        <f t="shared" si="2"/>
        <v>47.300000000000026</v>
      </c>
      <c r="L16" s="38">
        <f t="shared" si="2"/>
        <v>43.000000000000028</v>
      </c>
      <c r="M16" s="38">
        <f t="shared" si="2"/>
        <v>38.700000000000031</v>
      </c>
      <c r="N16" s="38">
        <f t="shared" si="2"/>
        <v>34.400000000000034</v>
      </c>
      <c r="O16" s="38">
        <f t="shared" si="2"/>
        <v>30.100000000000033</v>
      </c>
      <c r="P16" s="38">
        <f t="shared" si="2"/>
        <v>25.800000000000033</v>
      </c>
      <c r="Q16" s="38">
        <f t="shared" si="2"/>
        <v>21.500000000000032</v>
      </c>
      <c r="R16" s="38">
        <f t="shared" si="2"/>
        <v>17.200000000000031</v>
      </c>
      <c r="S16" s="38">
        <f t="shared" si="2"/>
        <v>12.900000000000031</v>
      </c>
      <c r="T16" s="38">
        <f t="shared" si="2"/>
        <v>8.6000000000000298</v>
      </c>
      <c r="U16" s="38">
        <f t="shared" si="2"/>
        <v>4.30000000000003</v>
      </c>
      <c r="V16" s="38">
        <f t="shared" si="2"/>
        <v>3.0198066269804258E-14</v>
      </c>
    </row>
    <row r="18" spans="1:9" ht="115.2" x14ac:dyDescent="0.3">
      <c r="A18" s="42"/>
      <c r="B18" s="43" t="s">
        <v>31</v>
      </c>
      <c r="C18" s="42"/>
      <c r="D18" s="42"/>
      <c r="E18" s="42"/>
      <c r="F18" s="42"/>
      <c r="G18" s="42"/>
      <c r="H18" s="42"/>
      <c r="I18" s="42"/>
    </row>
    <row r="19" spans="1:9" ht="14.4" x14ac:dyDescent="0.3">
      <c r="A19" s="42"/>
      <c r="B19" s="43"/>
      <c r="C19" s="42"/>
      <c r="D19" s="42"/>
      <c r="E19" s="42"/>
      <c r="F19" s="42"/>
      <c r="G19" s="43"/>
      <c r="H19" s="42"/>
      <c r="I19" s="42"/>
    </row>
    <row r="20" spans="1:9" ht="14.4" x14ac:dyDescent="0.3">
      <c r="A20" s="42"/>
      <c r="B20" s="43"/>
      <c r="C20" s="42"/>
      <c r="D20" s="42"/>
      <c r="E20" s="42"/>
      <c r="F20" s="42"/>
      <c r="G20" s="43"/>
      <c r="H20" s="42"/>
      <c r="I20" s="42"/>
    </row>
    <row r="21" spans="1:9" ht="14.4" x14ac:dyDescent="0.3">
      <c r="A21" s="42"/>
      <c r="B21" s="43"/>
      <c r="C21" s="42"/>
      <c r="D21" s="42"/>
      <c r="E21" s="42"/>
      <c r="F21" s="42"/>
      <c r="G21" s="43"/>
      <c r="H21" s="42"/>
      <c r="I21" s="42"/>
    </row>
    <row r="22" spans="1:9" ht="14.4" x14ac:dyDescent="0.3">
      <c r="A22" s="42"/>
      <c r="B22" s="43"/>
      <c r="C22" s="42"/>
      <c r="D22" s="42"/>
      <c r="E22" s="42"/>
      <c r="F22" s="42"/>
      <c r="G22" s="43"/>
      <c r="H22" s="42"/>
      <c r="I22" s="42"/>
    </row>
    <row r="23" spans="1:9" ht="15.75" customHeight="1" x14ac:dyDescent="0.3">
      <c r="A23" s="42"/>
      <c r="B23" s="43"/>
      <c r="C23" s="42"/>
      <c r="D23" s="42"/>
      <c r="E23" s="42"/>
      <c r="F23" s="42"/>
      <c r="G23" s="43"/>
      <c r="H23" s="42"/>
      <c r="I23" s="42"/>
    </row>
    <row r="24" spans="1:9" ht="15.75" customHeight="1" x14ac:dyDescent="0.3">
      <c r="A24" s="42"/>
      <c r="B24" s="43"/>
      <c r="C24" s="42"/>
      <c r="D24" s="42"/>
      <c r="E24" s="42"/>
      <c r="F24" s="42"/>
      <c r="G24" s="43"/>
      <c r="H24" s="42"/>
      <c r="I24" s="42"/>
    </row>
    <row r="25" spans="1:9" ht="15.75" customHeight="1" x14ac:dyDescent="0.3">
      <c r="A25" s="42"/>
      <c r="B25" s="43"/>
      <c r="C25" s="42"/>
      <c r="D25" s="42"/>
      <c r="E25" s="42"/>
      <c r="F25" s="42"/>
      <c r="G25" s="42"/>
      <c r="H25" s="42"/>
      <c r="I25" s="42"/>
    </row>
    <row r="26" spans="1:9" ht="15.75" customHeight="1" x14ac:dyDescent="0.3">
      <c r="A26" s="42"/>
      <c r="B26" s="43"/>
      <c r="C26" s="42"/>
      <c r="D26" s="42"/>
      <c r="E26" s="42"/>
      <c r="F26" s="42"/>
      <c r="G26" s="42"/>
      <c r="H26" s="42"/>
      <c r="I26" s="42"/>
    </row>
    <row r="27" spans="1:9" ht="15.75" customHeight="1" x14ac:dyDescent="0.3">
      <c r="A27" s="42"/>
      <c r="B27" s="43"/>
      <c r="C27" s="42"/>
      <c r="D27" s="42"/>
      <c r="E27" s="42"/>
      <c r="F27" s="42"/>
      <c r="G27" s="42"/>
      <c r="H27" s="42"/>
      <c r="I27" s="42"/>
    </row>
    <row r="28" spans="1:9" ht="15.75" customHeight="1" x14ac:dyDescent="0.3"/>
    <row r="29" spans="1:9" ht="15.75" customHeight="1" x14ac:dyDescent="0.3"/>
    <row r="30" spans="1:9" ht="15.75" customHeight="1" x14ac:dyDescent="0.3"/>
    <row r="31" spans="1:9" ht="15.75" customHeight="1" x14ac:dyDescent="0.3"/>
    <row r="32" spans="1:9" ht="15.75" customHeight="1" x14ac:dyDescent="0.3"/>
    <row r="33" ht="15.75" customHeight="1" x14ac:dyDescent="0.3"/>
    <row r="34" ht="15.75" customHeight="1" x14ac:dyDescent="0.3"/>
    <row r="35" ht="15.75" customHeight="1" x14ac:dyDescent="0.3"/>
    <row r="36" ht="15.75" customHeight="1" x14ac:dyDescent="0.3"/>
    <row r="37" ht="15.75" customHeight="1" x14ac:dyDescent="0.3"/>
    <row r="38" ht="15.75" customHeight="1" x14ac:dyDescent="0.3"/>
    <row r="39" ht="15.75" customHeight="1" x14ac:dyDescent="0.3"/>
    <row r="40" ht="15.75" customHeight="1" x14ac:dyDescent="0.3"/>
    <row r="41" ht="15.75" customHeight="1" x14ac:dyDescent="0.3"/>
    <row r="42" ht="15.75" customHeight="1" x14ac:dyDescent="0.3"/>
    <row r="43" ht="15.75" customHeight="1" x14ac:dyDescent="0.3"/>
    <row r="44" ht="15.75" customHeight="1" x14ac:dyDescent="0.3"/>
    <row r="45" ht="15.75" customHeight="1" x14ac:dyDescent="0.3"/>
    <row r="46" ht="15.75" customHeight="1" x14ac:dyDescent="0.3"/>
    <row r="47" ht="15.75" customHeight="1" x14ac:dyDescent="0.3"/>
    <row r="48" ht="15.75" customHeight="1" x14ac:dyDescent="0.3"/>
    <row r="49" ht="15.75" customHeight="1" x14ac:dyDescent="0.3"/>
    <row r="50" ht="15.75" customHeight="1" x14ac:dyDescent="0.3"/>
    <row r="51" ht="15.75" customHeight="1" x14ac:dyDescent="0.3"/>
    <row r="52" ht="15.75" customHeight="1" x14ac:dyDescent="0.3"/>
    <row r="53" ht="15.75" customHeight="1" x14ac:dyDescent="0.3"/>
    <row r="54" ht="15.75" customHeight="1" x14ac:dyDescent="0.3"/>
    <row r="55" ht="15.75" customHeight="1" x14ac:dyDescent="0.3"/>
    <row r="56" ht="15.75" customHeight="1" x14ac:dyDescent="0.3"/>
    <row r="57" ht="15.75" customHeight="1" x14ac:dyDescent="0.3"/>
    <row r="58" ht="15.75" customHeight="1" x14ac:dyDescent="0.3"/>
    <row r="59" ht="15.75" customHeight="1" x14ac:dyDescent="0.3"/>
    <row r="60" ht="15.75" customHeight="1" x14ac:dyDescent="0.3"/>
    <row r="61" ht="15.75" customHeight="1" x14ac:dyDescent="0.3"/>
    <row r="62" ht="15.75" customHeight="1" x14ac:dyDescent="0.3"/>
    <row r="63" ht="15.75" customHeight="1" x14ac:dyDescent="0.3"/>
    <row r="64" ht="15.75" customHeight="1" x14ac:dyDescent="0.3"/>
    <row r="65" ht="15.75" customHeight="1" x14ac:dyDescent="0.3"/>
    <row r="66" ht="15.75" customHeight="1" x14ac:dyDescent="0.3"/>
    <row r="67" ht="15.75" customHeight="1" x14ac:dyDescent="0.3"/>
    <row r="68" ht="15.75" customHeight="1" x14ac:dyDescent="0.3"/>
    <row r="69" ht="15.75" customHeight="1" x14ac:dyDescent="0.3"/>
    <row r="70" ht="15.75" customHeight="1" x14ac:dyDescent="0.3"/>
    <row r="71" ht="15.75" customHeight="1" x14ac:dyDescent="0.3"/>
    <row r="72" ht="15.75" customHeight="1" x14ac:dyDescent="0.3"/>
    <row r="73" ht="15.75" customHeight="1" x14ac:dyDescent="0.3"/>
    <row r="74" ht="15.75" customHeight="1" x14ac:dyDescent="0.3"/>
    <row r="75" ht="15.75" customHeight="1" x14ac:dyDescent="0.3"/>
    <row r="76" ht="15.75" customHeight="1" x14ac:dyDescent="0.3"/>
    <row r="77" ht="15.75" customHeight="1" x14ac:dyDescent="0.3"/>
    <row r="78" ht="15.75" customHeight="1" x14ac:dyDescent="0.3"/>
    <row r="79" ht="15.75" customHeight="1" x14ac:dyDescent="0.3"/>
    <row r="80" ht="15.75" customHeight="1" x14ac:dyDescent="0.3"/>
    <row r="81" ht="15.75" customHeight="1" x14ac:dyDescent="0.3"/>
    <row r="82" ht="15.75" customHeight="1" x14ac:dyDescent="0.3"/>
    <row r="83" ht="15.75" customHeight="1" x14ac:dyDescent="0.3"/>
    <row r="84" ht="15.75" customHeight="1" x14ac:dyDescent="0.3"/>
    <row r="85" ht="15.75" customHeight="1" x14ac:dyDescent="0.3"/>
    <row r="86" ht="15.75" customHeight="1" x14ac:dyDescent="0.3"/>
    <row r="87" ht="15.75" customHeight="1" x14ac:dyDescent="0.3"/>
    <row r="88" ht="15.75" customHeight="1" x14ac:dyDescent="0.3"/>
    <row r="89" ht="15.75" customHeight="1" x14ac:dyDescent="0.3"/>
    <row r="90" ht="15.75" customHeight="1" x14ac:dyDescent="0.3"/>
    <row r="91" ht="15.75" customHeight="1" x14ac:dyDescent="0.3"/>
    <row r="92" ht="15.75" customHeight="1" x14ac:dyDescent="0.3"/>
    <row r="93" ht="15.75" customHeight="1" x14ac:dyDescent="0.3"/>
    <row r="94" ht="15.75" customHeight="1" x14ac:dyDescent="0.3"/>
    <row r="95" ht="15.75" customHeight="1" x14ac:dyDescent="0.3"/>
    <row r="96" ht="15.75" customHeight="1" x14ac:dyDescent="0.3"/>
    <row r="97" ht="15.75" customHeight="1" x14ac:dyDescent="0.3"/>
    <row r="98" ht="15.75" customHeight="1" x14ac:dyDescent="0.3"/>
    <row r="99" ht="15.75" customHeight="1" x14ac:dyDescent="0.3"/>
    <row r="100" ht="15.75" customHeight="1" x14ac:dyDescent="0.3"/>
    <row r="101" ht="15.75" customHeight="1" x14ac:dyDescent="0.3"/>
    <row r="102" ht="15.75" customHeight="1" x14ac:dyDescent="0.3"/>
    <row r="103" ht="15.75" customHeight="1" x14ac:dyDescent="0.3"/>
    <row r="104" ht="15.75" customHeight="1" x14ac:dyDescent="0.3"/>
    <row r="105" ht="15.75" customHeight="1" x14ac:dyDescent="0.3"/>
    <row r="106" ht="15.75" customHeight="1" x14ac:dyDescent="0.3"/>
    <row r="107" ht="15.75" customHeight="1" x14ac:dyDescent="0.3"/>
    <row r="108" ht="15.75" customHeight="1" x14ac:dyDescent="0.3"/>
    <row r="109" ht="15.75" customHeight="1" x14ac:dyDescent="0.3"/>
    <row r="110" ht="15.75" customHeight="1" x14ac:dyDescent="0.3"/>
    <row r="111" ht="15.75" customHeight="1" x14ac:dyDescent="0.3"/>
    <row r="112" ht="15.75" customHeight="1" x14ac:dyDescent="0.3"/>
    <row r="113" ht="15.75" customHeight="1" x14ac:dyDescent="0.3"/>
    <row r="114" ht="15.75" customHeight="1" x14ac:dyDescent="0.3"/>
    <row r="115" ht="15.75" customHeight="1" x14ac:dyDescent="0.3"/>
    <row r="116" ht="15.75" customHeight="1" x14ac:dyDescent="0.3"/>
    <row r="117" ht="15.75" customHeight="1" x14ac:dyDescent="0.3"/>
    <row r="118" ht="15.75" customHeight="1" x14ac:dyDescent="0.3"/>
    <row r="119" ht="15.75" customHeight="1" x14ac:dyDescent="0.3"/>
    <row r="120" ht="15.75" customHeight="1" x14ac:dyDescent="0.3"/>
    <row r="121" ht="15.75" customHeight="1" x14ac:dyDescent="0.3"/>
    <row r="122" ht="15.75" customHeight="1" x14ac:dyDescent="0.3"/>
    <row r="123" ht="15.75" customHeight="1" x14ac:dyDescent="0.3"/>
    <row r="124" ht="15.75" customHeight="1" x14ac:dyDescent="0.3"/>
    <row r="125" ht="15.75" customHeight="1" x14ac:dyDescent="0.3"/>
    <row r="126" ht="15.75" customHeight="1" x14ac:dyDescent="0.3"/>
    <row r="127" ht="15.75" customHeight="1" x14ac:dyDescent="0.3"/>
    <row r="128" ht="15.75" customHeight="1" x14ac:dyDescent="0.3"/>
    <row r="129" ht="15.75" customHeight="1" x14ac:dyDescent="0.3"/>
    <row r="130" ht="15.75" customHeight="1" x14ac:dyDescent="0.3"/>
    <row r="131" ht="15.75" customHeight="1" x14ac:dyDescent="0.3"/>
    <row r="132" ht="15.75" customHeight="1" x14ac:dyDescent="0.3"/>
    <row r="133" ht="15.75" customHeight="1" x14ac:dyDescent="0.3"/>
    <row r="134" ht="15.75" customHeight="1" x14ac:dyDescent="0.3"/>
    <row r="135" ht="15.75" customHeight="1" x14ac:dyDescent="0.3"/>
    <row r="136" ht="15.75" customHeight="1" x14ac:dyDescent="0.3"/>
    <row r="137" ht="15.75" customHeight="1" x14ac:dyDescent="0.3"/>
    <row r="138" ht="15.75" customHeight="1" x14ac:dyDescent="0.3"/>
    <row r="139" ht="15.75" customHeight="1" x14ac:dyDescent="0.3"/>
    <row r="140" ht="15.75" customHeight="1" x14ac:dyDescent="0.3"/>
    <row r="141" ht="15.75" customHeight="1" x14ac:dyDescent="0.3"/>
    <row r="142" ht="15.75" customHeight="1" x14ac:dyDescent="0.3"/>
    <row r="143" ht="15.75" customHeight="1" x14ac:dyDescent="0.3"/>
    <row r="144" ht="15.75" customHeight="1" x14ac:dyDescent="0.3"/>
    <row r="145" ht="15.75" customHeight="1" x14ac:dyDescent="0.3"/>
    <row r="146" ht="15.75" customHeight="1" x14ac:dyDescent="0.3"/>
    <row r="147" ht="15.75" customHeight="1" x14ac:dyDescent="0.3"/>
    <row r="148" ht="15.75" customHeight="1" x14ac:dyDescent="0.3"/>
    <row r="149" ht="15.75" customHeight="1" x14ac:dyDescent="0.3"/>
    <row r="150" ht="15.75" customHeight="1" x14ac:dyDescent="0.3"/>
    <row r="151" ht="15.75" customHeight="1" x14ac:dyDescent="0.3"/>
    <row r="152" ht="15.75" customHeight="1" x14ac:dyDescent="0.3"/>
    <row r="153" ht="15.75" customHeight="1" x14ac:dyDescent="0.3"/>
    <row r="154" ht="15.75" customHeight="1" x14ac:dyDescent="0.3"/>
    <row r="155" ht="15.75" customHeight="1" x14ac:dyDescent="0.3"/>
    <row r="156" ht="15.75" customHeight="1" x14ac:dyDescent="0.3"/>
    <row r="157" ht="15.75" customHeight="1" x14ac:dyDescent="0.3"/>
    <row r="158" ht="15.75" customHeight="1" x14ac:dyDescent="0.3"/>
    <row r="159" ht="15.75" customHeight="1" x14ac:dyDescent="0.3"/>
    <row r="160" ht="15.75" customHeight="1" x14ac:dyDescent="0.3"/>
    <row r="161" ht="15.75" customHeight="1" x14ac:dyDescent="0.3"/>
    <row r="162" ht="15.75" customHeight="1" x14ac:dyDescent="0.3"/>
    <row r="163" ht="15.75" customHeight="1" x14ac:dyDescent="0.3"/>
    <row r="164" ht="15.75" customHeight="1" x14ac:dyDescent="0.3"/>
    <row r="165" ht="15.75" customHeight="1" x14ac:dyDescent="0.3"/>
    <row r="166" ht="15.75" customHeight="1" x14ac:dyDescent="0.3"/>
    <row r="167" ht="15.75" customHeight="1" x14ac:dyDescent="0.3"/>
    <row r="168" ht="15.75" customHeight="1" x14ac:dyDescent="0.3"/>
    <row r="169" ht="15.75" customHeight="1" x14ac:dyDescent="0.3"/>
    <row r="170" ht="15.75" customHeight="1" x14ac:dyDescent="0.3"/>
    <row r="171" ht="15.75" customHeight="1" x14ac:dyDescent="0.3"/>
    <row r="172" ht="15.75" customHeight="1" x14ac:dyDescent="0.3"/>
    <row r="173" ht="15.75" customHeight="1" x14ac:dyDescent="0.3"/>
    <row r="174" ht="15.75" customHeight="1" x14ac:dyDescent="0.3"/>
    <row r="175" ht="15.75" customHeight="1" x14ac:dyDescent="0.3"/>
    <row r="176" ht="15.75" customHeight="1" x14ac:dyDescent="0.3"/>
    <row r="177" ht="15.75" customHeight="1" x14ac:dyDescent="0.3"/>
    <row r="178" ht="15.75" customHeight="1" x14ac:dyDescent="0.3"/>
    <row r="179" ht="15.75" customHeight="1" x14ac:dyDescent="0.3"/>
    <row r="180" ht="15.75" customHeight="1" x14ac:dyDescent="0.3"/>
    <row r="181" ht="15.75" customHeight="1" x14ac:dyDescent="0.3"/>
    <row r="182" ht="15.75" customHeight="1" x14ac:dyDescent="0.3"/>
    <row r="183" ht="15.75" customHeight="1" x14ac:dyDescent="0.3"/>
    <row r="184" ht="15.75" customHeight="1" x14ac:dyDescent="0.3"/>
    <row r="185" ht="15.75" customHeight="1" x14ac:dyDescent="0.3"/>
    <row r="186" ht="15.75" customHeight="1" x14ac:dyDescent="0.3"/>
    <row r="187" ht="15.75" customHeight="1" x14ac:dyDescent="0.3"/>
    <row r="188" ht="15.75" customHeight="1" x14ac:dyDescent="0.3"/>
    <row r="189" ht="15.75" customHeight="1" x14ac:dyDescent="0.3"/>
    <row r="190" ht="15.75" customHeight="1" x14ac:dyDescent="0.3"/>
    <row r="191" ht="15.75" customHeight="1" x14ac:dyDescent="0.3"/>
    <row r="192" ht="15.75" customHeight="1" x14ac:dyDescent="0.3"/>
    <row r="193" ht="15.75" customHeight="1" x14ac:dyDescent="0.3"/>
    <row r="194" ht="15.75" customHeight="1" x14ac:dyDescent="0.3"/>
    <row r="195" ht="15.75" customHeight="1" x14ac:dyDescent="0.3"/>
    <row r="196" ht="15.75" customHeight="1" x14ac:dyDescent="0.3"/>
    <row r="197" ht="15.75" customHeight="1" x14ac:dyDescent="0.3"/>
    <row r="198" ht="15.75" customHeight="1" x14ac:dyDescent="0.3"/>
    <row r="199" ht="15.75" customHeight="1" x14ac:dyDescent="0.3"/>
    <row r="200" ht="15.75" customHeight="1" x14ac:dyDescent="0.3"/>
    <row r="201" ht="15.75" customHeight="1" x14ac:dyDescent="0.3"/>
    <row r="202" ht="15.75" customHeight="1" x14ac:dyDescent="0.3"/>
    <row r="203" ht="15.75" customHeight="1" x14ac:dyDescent="0.3"/>
    <row r="204" ht="15.75" customHeight="1" x14ac:dyDescent="0.3"/>
    <row r="205" ht="15.75" customHeight="1" x14ac:dyDescent="0.3"/>
    <row r="206" ht="15.75" customHeight="1" x14ac:dyDescent="0.3"/>
    <row r="207" ht="15.75" customHeight="1" x14ac:dyDescent="0.3"/>
    <row r="208" ht="15.75" customHeight="1" x14ac:dyDescent="0.3"/>
    <row r="209" ht="15.75" customHeight="1" x14ac:dyDescent="0.3"/>
    <row r="210" ht="15.75" customHeight="1" x14ac:dyDescent="0.3"/>
    <row r="211" ht="15.75" customHeight="1" x14ac:dyDescent="0.3"/>
    <row r="212" ht="15.75" customHeight="1" x14ac:dyDescent="0.3"/>
    <row r="213" ht="15.75" customHeight="1" x14ac:dyDescent="0.3"/>
    <row r="214" ht="15.75" customHeight="1" x14ac:dyDescent="0.3"/>
    <row r="215" ht="15.75" customHeight="1" x14ac:dyDescent="0.3"/>
    <row r="216" ht="15.75" customHeight="1" x14ac:dyDescent="0.3"/>
    <row r="217" ht="15.75" customHeight="1" x14ac:dyDescent="0.3"/>
    <row r="218" ht="15.75" customHeight="1" x14ac:dyDescent="0.3"/>
    <row r="219" ht="15.75" customHeight="1" x14ac:dyDescent="0.3"/>
    <row r="220" ht="15.75" customHeight="1" x14ac:dyDescent="0.3"/>
    <row r="221" ht="15.75" customHeight="1" x14ac:dyDescent="0.3"/>
    <row r="222" ht="15.75" customHeight="1" x14ac:dyDescent="0.3"/>
    <row r="223" ht="15.75" customHeight="1" x14ac:dyDescent="0.3"/>
    <row r="224" ht="15.75" customHeight="1" x14ac:dyDescent="0.3"/>
    <row r="225" ht="15.75" customHeight="1" x14ac:dyDescent="0.3"/>
    <row r="226" ht="15.75" customHeight="1" x14ac:dyDescent="0.3"/>
    <row r="227" ht="15.75" customHeight="1" x14ac:dyDescent="0.3"/>
    <row r="228" ht="15.75" customHeight="1" x14ac:dyDescent="0.3"/>
    <row r="229" ht="15.75" customHeight="1" x14ac:dyDescent="0.3"/>
    <row r="230" ht="15.75" customHeight="1" x14ac:dyDescent="0.3"/>
    <row r="231" ht="15.75" customHeight="1" x14ac:dyDescent="0.3"/>
    <row r="232" ht="15.75" customHeight="1" x14ac:dyDescent="0.3"/>
    <row r="233" ht="15.75" customHeight="1" x14ac:dyDescent="0.3"/>
    <row r="234" ht="15.75" customHeight="1" x14ac:dyDescent="0.3"/>
    <row r="235" ht="15.75" customHeight="1" x14ac:dyDescent="0.3"/>
    <row r="236" ht="15.75" customHeight="1" x14ac:dyDescent="0.3"/>
    <row r="237" ht="15.75" customHeight="1" x14ac:dyDescent="0.3"/>
    <row r="238" ht="15.75" customHeight="1" x14ac:dyDescent="0.3"/>
    <row r="239" ht="15.75" customHeight="1" x14ac:dyDescent="0.3"/>
    <row r="240" ht="15.75" customHeight="1" x14ac:dyDescent="0.3"/>
    <row r="241" ht="15.75" customHeight="1" x14ac:dyDescent="0.3"/>
    <row r="242" ht="15.75" customHeight="1" x14ac:dyDescent="0.3"/>
    <row r="243" ht="15.75" customHeight="1" x14ac:dyDescent="0.3"/>
    <row r="244" ht="15.75" customHeight="1" x14ac:dyDescent="0.3"/>
    <row r="245" ht="15.75" customHeight="1" x14ac:dyDescent="0.3"/>
    <row r="246" ht="15.75" customHeight="1" x14ac:dyDescent="0.3"/>
    <row r="247" ht="15.75" customHeight="1" x14ac:dyDescent="0.3"/>
    <row r="248" ht="15.75" customHeight="1" x14ac:dyDescent="0.3"/>
    <row r="249" ht="15.75" customHeight="1" x14ac:dyDescent="0.3"/>
    <row r="250" ht="15.75" customHeight="1" x14ac:dyDescent="0.3"/>
    <row r="251" ht="15.75" customHeight="1" x14ac:dyDescent="0.3"/>
    <row r="252" ht="15.75" customHeight="1" x14ac:dyDescent="0.3"/>
    <row r="253" ht="15.75" customHeight="1" x14ac:dyDescent="0.3"/>
    <row r="254" ht="15.75" customHeight="1" x14ac:dyDescent="0.3"/>
    <row r="255" ht="15.75" customHeight="1" x14ac:dyDescent="0.3"/>
    <row r="256" ht="15.75" customHeight="1" x14ac:dyDescent="0.3"/>
    <row r="257" ht="15.75" customHeight="1" x14ac:dyDescent="0.3"/>
    <row r="258" ht="15.75" customHeight="1" x14ac:dyDescent="0.3"/>
    <row r="259" ht="15.75" customHeight="1" x14ac:dyDescent="0.3"/>
    <row r="260" ht="15.75" customHeight="1" x14ac:dyDescent="0.3"/>
    <row r="261" ht="15.75" customHeight="1" x14ac:dyDescent="0.3"/>
    <row r="262" ht="15.75" customHeight="1" x14ac:dyDescent="0.3"/>
    <row r="263" ht="15.75" customHeight="1" x14ac:dyDescent="0.3"/>
    <row r="264" ht="15.75" customHeight="1" x14ac:dyDescent="0.3"/>
    <row r="265" ht="15.75" customHeight="1" x14ac:dyDescent="0.3"/>
    <row r="266" ht="15.75" customHeight="1" x14ac:dyDescent="0.3"/>
    <row r="267" ht="15.75" customHeight="1" x14ac:dyDescent="0.3"/>
    <row r="268" ht="15.75" customHeight="1" x14ac:dyDescent="0.3"/>
    <row r="269" ht="15.75" customHeight="1" x14ac:dyDescent="0.3"/>
    <row r="270" ht="15.75" customHeight="1" x14ac:dyDescent="0.3"/>
    <row r="271" ht="15.75" customHeight="1" x14ac:dyDescent="0.3"/>
    <row r="272" ht="15.75" customHeight="1" x14ac:dyDescent="0.3"/>
    <row r="273" ht="15.75" customHeight="1" x14ac:dyDescent="0.3"/>
    <row r="274" ht="15.75" customHeight="1" x14ac:dyDescent="0.3"/>
    <row r="275" ht="15.75" customHeight="1" x14ac:dyDescent="0.3"/>
    <row r="276" ht="15.75" customHeight="1" x14ac:dyDescent="0.3"/>
    <row r="277" ht="15.75" customHeight="1" x14ac:dyDescent="0.3"/>
    <row r="278" ht="15.75" customHeight="1" x14ac:dyDescent="0.3"/>
    <row r="279" ht="15.75" customHeight="1" x14ac:dyDescent="0.3"/>
    <row r="280" ht="15.75" customHeight="1" x14ac:dyDescent="0.3"/>
    <row r="281" ht="15.75" customHeight="1" x14ac:dyDescent="0.3"/>
    <row r="282" ht="15.75" customHeight="1" x14ac:dyDescent="0.3"/>
    <row r="283" ht="15.75" customHeight="1" x14ac:dyDescent="0.3"/>
    <row r="284" ht="15.75" customHeight="1" x14ac:dyDescent="0.3"/>
    <row r="285" ht="15.75" customHeight="1" x14ac:dyDescent="0.3"/>
    <row r="286" ht="15.75" customHeight="1" x14ac:dyDescent="0.3"/>
    <row r="287" ht="15.75" customHeight="1" x14ac:dyDescent="0.3"/>
    <row r="288" ht="15.75" customHeight="1" x14ac:dyDescent="0.3"/>
    <row r="289" ht="15.75" customHeight="1" x14ac:dyDescent="0.3"/>
    <row r="290" ht="15.75" customHeight="1" x14ac:dyDescent="0.3"/>
    <row r="291" ht="15.75" customHeight="1" x14ac:dyDescent="0.3"/>
    <row r="292" ht="15.75" customHeight="1" x14ac:dyDescent="0.3"/>
    <row r="293" ht="15.75" customHeight="1" x14ac:dyDescent="0.3"/>
    <row r="294" ht="15.75" customHeight="1" x14ac:dyDescent="0.3"/>
    <row r="295" ht="15.75" customHeight="1" x14ac:dyDescent="0.3"/>
    <row r="296" ht="15.75" customHeight="1" x14ac:dyDescent="0.3"/>
    <row r="297" ht="15.75" customHeight="1" x14ac:dyDescent="0.3"/>
    <row r="298" ht="15.75" customHeight="1" x14ac:dyDescent="0.3"/>
    <row r="299" ht="15.75" customHeight="1" x14ac:dyDescent="0.3"/>
    <row r="300" ht="15.75" customHeight="1" x14ac:dyDescent="0.3"/>
    <row r="301" ht="15.75" customHeight="1" x14ac:dyDescent="0.3"/>
    <row r="302" ht="15.75" customHeight="1" x14ac:dyDescent="0.3"/>
    <row r="303" ht="15.75" customHeight="1" x14ac:dyDescent="0.3"/>
    <row r="304" ht="15.75" customHeight="1" x14ac:dyDescent="0.3"/>
    <row r="305" ht="15.75" customHeight="1" x14ac:dyDescent="0.3"/>
    <row r="306" ht="15.75" customHeight="1" x14ac:dyDescent="0.3"/>
    <row r="307" ht="15.75" customHeight="1" x14ac:dyDescent="0.3"/>
    <row r="308" ht="15.75" customHeight="1" x14ac:dyDescent="0.3"/>
    <row r="309" ht="15.75" customHeight="1" x14ac:dyDescent="0.3"/>
    <row r="310" ht="15.75" customHeight="1" x14ac:dyDescent="0.3"/>
    <row r="311" ht="15.75" customHeight="1" x14ac:dyDescent="0.3"/>
    <row r="312" ht="15.75" customHeight="1" x14ac:dyDescent="0.3"/>
    <row r="313" ht="15.75" customHeight="1" x14ac:dyDescent="0.3"/>
    <row r="314" ht="15.75" customHeight="1" x14ac:dyDescent="0.3"/>
    <row r="315" ht="15.75" customHeight="1" x14ac:dyDescent="0.3"/>
    <row r="316" ht="15.75" customHeight="1" x14ac:dyDescent="0.3"/>
    <row r="317" ht="15.75" customHeight="1" x14ac:dyDescent="0.3"/>
    <row r="318" ht="15.75" customHeight="1" x14ac:dyDescent="0.3"/>
    <row r="319" ht="15.75" customHeight="1" x14ac:dyDescent="0.3"/>
    <row r="320" ht="15.75" customHeight="1" x14ac:dyDescent="0.3"/>
    <row r="321" ht="15.75" customHeight="1" x14ac:dyDescent="0.3"/>
    <row r="322" ht="15.75" customHeight="1" x14ac:dyDescent="0.3"/>
    <row r="323" ht="15.75" customHeight="1" x14ac:dyDescent="0.3"/>
    <row r="324" ht="15.75" customHeight="1" x14ac:dyDescent="0.3"/>
    <row r="325" ht="15.75" customHeight="1" x14ac:dyDescent="0.3"/>
    <row r="326" ht="15.75" customHeight="1" x14ac:dyDescent="0.3"/>
    <row r="327" ht="15.75" customHeight="1" x14ac:dyDescent="0.3"/>
    <row r="328" ht="15.75" customHeight="1" x14ac:dyDescent="0.3"/>
    <row r="329" ht="15.75" customHeight="1" x14ac:dyDescent="0.3"/>
    <row r="330" ht="15.75" customHeight="1" x14ac:dyDescent="0.3"/>
    <row r="331" ht="15.75" customHeight="1" x14ac:dyDescent="0.3"/>
    <row r="332" ht="15.75" customHeight="1" x14ac:dyDescent="0.3"/>
    <row r="333" ht="15.75" customHeight="1" x14ac:dyDescent="0.3"/>
    <row r="334" ht="15.75" customHeight="1" x14ac:dyDescent="0.3"/>
    <row r="335" ht="15.75" customHeight="1" x14ac:dyDescent="0.3"/>
    <row r="336" ht="15.75" customHeight="1" x14ac:dyDescent="0.3"/>
    <row r="337" ht="15.75" customHeight="1" x14ac:dyDescent="0.3"/>
    <row r="338" ht="15.75" customHeight="1" x14ac:dyDescent="0.3"/>
    <row r="339" ht="15.75" customHeight="1" x14ac:dyDescent="0.3"/>
    <row r="340" ht="15.75" customHeight="1" x14ac:dyDescent="0.3"/>
    <row r="341" ht="15.75" customHeight="1" x14ac:dyDescent="0.3"/>
    <row r="342" ht="15.75" customHeight="1" x14ac:dyDescent="0.3"/>
    <row r="343" ht="15.75" customHeight="1" x14ac:dyDescent="0.3"/>
    <row r="344" ht="15.75" customHeight="1" x14ac:dyDescent="0.3"/>
    <row r="345" ht="15.75" customHeight="1" x14ac:dyDescent="0.3"/>
    <row r="346" ht="15.75" customHeight="1" x14ac:dyDescent="0.3"/>
    <row r="347" ht="15.75" customHeight="1" x14ac:dyDescent="0.3"/>
    <row r="348" ht="15.75" customHeight="1" x14ac:dyDescent="0.3"/>
    <row r="349" ht="15.75" customHeight="1" x14ac:dyDescent="0.3"/>
    <row r="350" ht="15.75" customHeight="1" x14ac:dyDescent="0.3"/>
    <row r="351" ht="15.75" customHeight="1" x14ac:dyDescent="0.3"/>
    <row r="352" ht="15.75" customHeight="1" x14ac:dyDescent="0.3"/>
    <row r="353" ht="15.75" customHeight="1" x14ac:dyDescent="0.3"/>
    <row r="354" ht="15.75" customHeight="1" x14ac:dyDescent="0.3"/>
    <row r="355" ht="15.75" customHeight="1" x14ac:dyDescent="0.3"/>
    <row r="356" ht="15.75" customHeight="1" x14ac:dyDescent="0.3"/>
    <row r="357" ht="15.75" customHeight="1" x14ac:dyDescent="0.3"/>
    <row r="358" ht="15.75" customHeight="1" x14ac:dyDescent="0.3"/>
    <row r="359" ht="15.75" customHeight="1" x14ac:dyDescent="0.3"/>
    <row r="360" ht="15.75" customHeight="1" x14ac:dyDescent="0.3"/>
    <row r="361" ht="15.75" customHeight="1" x14ac:dyDescent="0.3"/>
    <row r="362" ht="15.75" customHeight="1" x14ac:dyDescent="0.3"/>
    <row r="363" ht="15.75" customHeight="1" x14ac:dyDescent="0.3"/>
    <row r="364" ht="15.75" customHeight="1" x14ac:dyDescent="0.3"/>
    <row r="365" ht="15.75" customHeight="1" x14ac:dyDescent="0.3"/>
    <row r="366" ht="15.75" customHeight="1" x14ac:dyDescent="0.3"/>
    <row r="367" ht="15.75" customHeight="1" x14ac:dyDescent="0.3"/>
    <row r="368" ht="15.75" customHeight="1" x14ac:dyDescent="0.3"/>
    <row r="369" ht="15.75" customHeight="1" x14ac:dyDescent="0.3"/>
    <row r="370" ht="15.75" customHeight="1" x14ac:dyDescent="0.3"/>
    <row r="371" ht="15.75" customHeight="1" x14ac:dyDescent="0.3"/>
    <row r="372" ht="15.75" customHeight="1" x14ac:dyDescent="0.3"/>
    <row r="373" ht="15.75" customHeight="1" x14ac:dyDescent="0.3"/>
    <row r="374" ht="15.75" customHeight="1" x14ac:dyDescent="0.3"/>
    <row r="375" ht="15.75" customHeight="1" x14ac:dyDescent="0.3"/>
    <row r="376" ht="15.75" customHeight="1" x14ac:dyDescent="0.3"/>
    <row r="377" ht="15.75" customHeight="1" x14ac:dyDescent="0.3"/>
    <row r="378" ht="15.75" customHeight="1" x14ac:dyDescent="0.3"/>
    <row r="379" ht="15.75" customHeight="1" x14ac:dyDescent="0.3"/>
    <row r="380" ht="15.75" customHeight="1" x14ac:dyDescent="0.3"/>
    <row r="381" ht="15.75" customHeight="1" x14ac:dyDescent="0.3"/>
    <row r="382" ht="15.75" customHeight="1" x14ac:dyDescent="0.3"/>
    <row r="383" ht="15.75" customHeight="1" x14ac:dyDescent="0.3"/>
    <row r="384" ht="15.75" customHeight="1" x14ac:dyDescent="0.3"/>
    <row r="385" ht="15.75" customHeight="1" x14ac:dyDescent="0.3"/>
    <row r="386" ht="15.75" customHeight="1" x14ac:dyDescent="0.3"/>
    <row r="387" ht="15.75" customHeight="1" x14ac:dyDescent="0.3"/>
    <row r="388" ht="15.75" customHeight="1" x14ac:dyDescent="0.3"/>
    <row r="389" ht="15.75" customHeight="1" x14ac:dyDescent="0.3"/>
    <row r="390" ht="15.75" customHeight="1" x14ac:dyDescent="0.3"/>
    <row r="391" ht="15.75" customHeight="1" x14ac:dyDescent="0.3"/>
    <row r="392" ht="15.75" customHeight="1" x14ac:dyDescent="0.3"/>
    <row r="393" ht="15.75" customHeight="1" x14ac:dyDescent="0.3"/>
    <row r="394" ht="15.75" customHeight="1" x14ac:dyDescent="0.3"/>
    <row r="395" ht="15.75" customHeight="1" x14ac:dyDescent="0.3"/>
    <row r="396" ht="15.75" customHeight="1" x14ac:dyDescent="0.3"/>
    <row r="397" ht="15.75" customHeight="1" x14ac:dyDescent="0.3"/>
    <row r="398" ht="15.75" customHeight="1" x14ac:dyDescent="0.3"/>
    <row r="399" ht="15.75" customHeight="1" x14ac:dyDescent="0.3"/>
    <row r="400" ht="15.75" customHeight="1" x14ac:dyDescent="0.3"/>
    <row r="401" ht="15.75" customHeight="1" x14ac:dyDescent="0.3"/>
    <row r="402" ht="15.75" customHeight="1" x14ac:dyDescent="0.3"/>
    <row r="403" ht="15.75" customHeight="1" x14ac:dyDescent="0.3"/>
    <row r="404" ht="15.75" customHeight="1" x14ac:dyDescent="0.3"/>
    <row r="405" ht="15.75" customHeight="1" x14ac:dyDescent="0.3"/>
    <row r="406" ht="15.75" customHeight="1" x14ac:dyDescent="0.3"/>
    <row r="407" ht="15.75" customHeight="1" x14ac:dyDescent="0.3"/>
    <row r="408" ht="15.75" customHeight="1" x14ac:dyDescent="0.3"/>
    <row r="409" ht="15.75" customHeight="1" x14ac:dyDescent="0.3"/>
    <row r="410" ht="15.75" customHeight="1" x14ac:dyDescent="0.3"/>
    <row r="411" ht="15.75" customHeight="1" x14ac:dyDescent="0.3"/>
    <row r="412" ht="15.75" customHeight="1" x14ac:dyDescent="0.3"/>
    <row r="413" ht="15.75" customHeight="1" x14ac:dyDescent="0.3"/>
    <row r="414" ht="15.75" customHeight="1" x14ac:dyDescent="0.3"/>
    <row r="415" ht="15.75" customHeight="1" x14ac:dyDescent="0.3"/>
    <row r="416" ht="15.75" customHeight="1" x14ac:dyDescent="0.3"/>
    <row r="417" ht="15.75" customHeight="1" x14ac:dyDescent="0.3"/>
    <row r="418" ht="15.75" customHeight="1" x14ac:dyDescent="0.3"/>
    <row r="419" ht="15.75" customHeight="1" x14ac:dyDescent="0.3"/>
    <row r="420" ht="15.75" customHeight="1" x14ac:dyDescent="0.3"/>
    <row r="421" ht="15.75" customHeight="1" x14ac:dyDescent="0.3"/>
    <row r="422" ht="15.75" customHeight="1" x14ac:dyDescent="0.3"/>
    <row r="423" ht="15.75" customHeight="1" x14ac:dyDescent="0.3"/>
    <row r="424" ht="15.75" customHeight="1" x14ac:dyDescent="0.3"/>
    <row r="425" ht="15.75" customHeight="1" x14ac:dyDescent="0.3"/>
    <row r="426" ht="15.75" customHeight="1" x14ac:dyDescent="0.3"/>
    <row r="427" ht="15.75" customHeight="1" x14ac:dyDescent="0.3"/>
    <row r="428" ht="15.75" customHeight="1" x14ac:dyDescent="0.3"/>
    <row r="429" ht="15.75" customHeight="1" x14ac:dyDescent="0.3"/>
    <row r="430" ht="15.75" customHeight="1" x14ac:dyDescent="0.3"/>
    <row r="431" ht="15.75" customHeight="1" x14ac:dyDescent="0.3"/>
    <row r="432" ht="15.75" customHeight="1" x14ac:dyDescent="0.3"/>
    <row r="433" ht="15.75" customHeight="1" x14ac:dyDescent="0.3"/>
    <row r="434" ht="15.75" customHeight="1" x14ac:dyDescent="0.3"/>
    <row r="435" ht="15.75" customHeight="1" x14ac:dyDescent="0.3"/>
    <row r="436" ht="15.75" customHeight="1" x14ac:dyDescent="0.3"/>
    <row r="437" ht="15.75" customHeight="1" x14ac:dyDescent="0.3"/>
    <row r="438" ht="15.75" customHeight="1" x14ac:dyDescent="0.3"/>
    <row r="439" ht="15.75" customHeight="1" x14ac:dyDescent="0.3"/>
    <row r="440" ht="15.75" customHeight="1" x14ac:dyDescent="0.3"/>
    <row r="441" ht="15.75" customHeight="1" x14ac:dyDescent="0.3"/>
    <row r="442" ht="15.75" customHeight="1" x14ac:dyDescent="0.3"/>
    <row r="443" ht="15.75" customHeight="1" x14ac:dyDescent="0.3"/>
    <row r="444" ht="15.75" customHeight="1" x14ac:dyDescent="0.3"/>
    <row r="445" ht="15.75" customHeight="1" x14ac:dyDescent="0.3"/>
    <row r="446" ht="15.75" customHeight="1" x14ac:dyDescent="0.3"/>
    <row r="447" ht="15.75" customHeight="1" x14ac:dyDescent="0.3"/>
    <row r="448" ht="15.75" customHeight="1" x14ac:dyDescent="0.3"/>
    <row r="449" ht="15.75" customHeight="1" x14ac:dyDescent="0.3"/>
    <row r="450" ht="15.75" customHeight="1" x14ac:dyDescent="0.3"/>
    <row r="451" ht="15.75" customHeight="1" x14ac:dyDescent="0.3"/>
    <row r="452" ht="15.75" customHeight="1" x14ac:dyDescent="0.3"/>
    <row r="453" ht="15.75" customHeight="1" x14ac:dyDescent="0.3"/>
    <row r="454" ht="15.75" customHeight="1" x14ac:dyDescent="0.3"/>
    <row r="455" ht="15.75" customHeight="1" x14ac:dyDescent="0.3"/>
    <row r="456" ht="15.75" customHeight="1" x14ac:dyDescent="0.3"/>
    <row r="457" ht="15.75" customHeight="1" x14ac:dyDescent="0.3"/>
    <row r="458" ht="15.75" customHeight="1" x14ac:dyDescent="0.3"/>
    <row r="459" ht="15.75" customHeight="1" x14ac:dyDescent="0.3"/>
    <row r="460" ht="15.75" customHeight="1" x14ac:dyDescent="0.3"/>
    <row r="461" ht="15.75" customHeight="1" x14ac:dyDescent="0.3"/>
    <row r="462" ht="15.75" customHeight="1" x14ac:dyDescent="0.3"/>
    <row r="463" ht="15.75" customHeight="1" x14ac:dyDescent="0.3"/>
    <row r="464" ht="15.75" customHeight="1" x14ac:dyDescent="0.3"/>
    <row r="465" ht="15.75" customHeight="1" x14ac:dyDescent="0.3"/>
    <row r="466" ht="15.75" customHeight="1" x14ac:dyDescent="0.3"/>
    <row r="467" ht="15.75" customHeight="1" x14ac:dyDescent="0.3"/>
    <row r="468" ht="15.75" customHeight="1" x14ac:dyDescent="0.3"/>
    <row r="469" ht="15.75" customHeight="1" x14ac:dyDescent="0.3"/>
    <row r="470" ht="15.75" customHeight="1" x14ac:dyDescent="0.3"/>
    <row r="471" ht="15.75" customHeight="1" x14ac:dyDescent="0.3"/>
    <row r="472" ht="15.75" customHeight="1" x14ac:dyDescent="0.3"/>
    <row r="473" ht="15.75" customHeight="1" x14ac:dyDescent="0.3"/>
    <row r="474" ht="15.75" customHeight="1" x14ac:dyDescent="0.3"/>
    <row r="475" ht="15.75" customHeight="1" x14ac:dyDescent="0.3"/>
    <row r="476" ht="15.75" customHeight="1" x14ac:dyDescent="0.3"/>
    <row r="477" ht="15.75" customHeight="1" x14ac:dyDescent="0.3"/>
    <row r="478" ht="15.75" customHeight="1" x14ac:dyDescent="0.3"/>
    <row r="479" ht="15.75" customHeight="1" x14ac:dyDescent="0.3"/>
    <row r="480" ht="15.75" customHeight="1" x14ac:dyDescent="0.3"/>
    <row r="481" ht="15.75" customHeight="1" x14ac:dyDescent="0.3"/>
    <row r="482" ht="15.75" customHeight="1" x14ac:dyDescent="0.3"/>
    <row r="483" ht="15.75" customHeight="1" x14ac:dyDescent="0.3"/>
    <row r="484" ht="15.75" customHeight="1" x14ac:dyDescent="0.3"/>
    <row r="485" ht="15.75" customHeight="1" x14ac:dyDescent="0.3"/>
    <row r="486" ht="15.75" customHeight="1" x14ac:dyDescent="0.3"/>
    <row r="487" ht="15.75" customHeight="1" x14ac:dyDescent="0.3"/>
    <row r="488" ht="15.75" customHeight="1" x14ac:dyDescent="0.3"/>
    <row r="489" ht="15.75" customHeight="1" x14ac:dyDescent="0.3"/>
    <row r="490" ht="15.75" customHeight="1" x14ac:dyDescent="0.3"/>
    <row r="491" ht="15.75" customHeight="1" x14ac:dyDescent="0.3"/>
    <row r="492" ht="15.75" customHeight="1" x14ac:dyDescent="0.3"/>
    <row r="493" ht="15.75" customHeight="1" x14ac:dyDescent="0.3"/>
    <row r="494" ht="15.75" customHeight="1" x14ac:dyDescent="0.3"/>
    <row r="495" ht="15.75" customHeight="1" x14ac:dyDescent="0.3"/>
    <row r="496" ht="15.75" customHeight="1" x14ac:dyDescent="0.3"/>
    <row r="497" ht="15.75" customHeight="1" x14ac:dyDescent="0.3"/>
    <row r="498" ht="15.75" customHeight="1" x14ac:dyDescent="0.3"/>
    <row r="499" ht="15.75" customHeight="1" x14ac:dyDescent="0.3"/>
    <row r="500" ht="15.75" customHeight="1" x14ac:dyDescent="0.3"/>
    <row r="501" ht="15.75" customHeight="1" x14ac:dyDescent="0.3"/>
    <row r="502" ht="15.75" customHeight="1" x14ac:dyDescent="0.3"/>
    <row r="503" ht="15.75" customHeight="1" x14ac:dyDescent="0.3"/>
    <row r="504" ht="15.75" customHeight="1" x14ac:dyDescent="0.3"/>
    <row r="505" ht="15.75" customHeight="1" x14ac:dyDescent="0.3"/>
    <row r="506" ht="15.75" customHeight="1" x14ac:dyDescent="0.3"/>
    <row r="507" ht="15.75" customHeight="1" x14ac:dyDescent="0.3"/>
    <row r="508" ht="15.75" customHeight="1" x14ac:dyDescent="0.3"/>
    <row r="509" ht="15.75" customHeight="1" x14ac:dyDescent="0.3"/>
    <row r="510" ht="15.75" customHeight="1" x14ac:dyDescent="0.3"/>
    <row r="511" ht="15.75" customHeight="1" x14ac:dyDescent="0.3"/>
    <row r="512" ht="15.75" customHeight="1" x14ac:dyDescent="0.3"/>
    <row r="513" ht="15.75" customHeight="1" x14ac:dyDescent="0.3"/>
    <row r="514" ht="15.75" customHeight="1" x14ac:dyDescent="0.3"/>
    <row r="515" ht="15.75" customHeight="1" x14ac:dyDescent="0.3"/>
    <row r="516" ht="15.75" customHeight="1" x14ac:dyDescent="0.3"/>
    <row r="517" ht="15.75" customHeight="1" x14ac:dyDescent="0.3"/>
    <row r="518" ht="15.75" customHeight="1" x14ac:dyDescent="0.3"/>
    <row r="519" ht="15.75" customHeight="1" x14ac:dyDescent="0.3"/>
    <row r="520" ht="15.75" customHeight="1" x14ac:dyDescent="0.3"/>
    <row r="521" ht="15.75" customHeight="1" x14ac:dyDescent="0.3"/>
    <row r="522" ht="15.75" customHeight="1" x14ac:dyDescent="0.3"/>
    <row r="523" ht="15.75" customHeight="1" x14ac:dyDescent="0.3"/>
    <row r="524" ht="15.75" customHeight="1" x14ac:dyDescent="0.3"/>
    <row r="525" ht="15.75" customHeight="1" x14ac:dyDescent="0.3"/>
    <row r="526" ht="15.75" customHeight="1" x14ac:dyDescent="0.3"/>
    <row r="527" ht="15.75" customHeight="1" x14ac:dyDescent="0.3"/>
    <row r="528" ht="15.75" customHeight="1" x14ac:dyDescent="0.3"/>
    <row r="529" ht="15.75" customHeight="1" x14ac:dyDescent="0.3"/>
    <row r="530" ht="15.75" customHeight="1" x14ac:dyDescent="0.3"/>
    <row r="531" ht="15.75" customHeight="1" x14ac:dyDescent="0.3"/>
    <row r="532" ht="15.75" customHeight="1" x14ac:dyDescent="0.3"/>
    <row r="533" ht="15.75" customHeight="1" x14ac:dyDescent="0.3"/>
    <row r="534" ht="15.75" customHeight="1" x14ac:dyDescent="0.3"/>
    <row r="535" ht="15.75" customHeight="1" x14ac:dyDescent="0.3"/>
    <row r="536" ht="15.75" customHeight="1" x14ac:dyDescent="0.3"/>
    <row r="537" ht="15.75" customHeight="1" x14ac:dyDescent="0.3"/>
    <row r="538" ht="15.75" customHeight="1" x14ac:dyDescent="0.3"/>
    <row r="539" ht="15.75" customHeight="1" x14ac:dyDescent="0.3"/>
    <row r="540" ht="15.75" customHeight="1" x14ac:dyDescent="0.3"/>
    <row r="541" ht="15.75" customHeight="1" x14ac:dyDescent="0.3"/>
    <row r="542" ht="15.75" customHeight="1" x14ac:dyDescent="0.3"/>
    <row r="543" ht="15.75" customHeight="1" x14ac:dyDescent="0.3"/>
    <row r="544" ht="15.75" customHeight="1" x14ac:dyDescent="0.3"/>
    <row r="545" ht="15.75" customHeight="1" x14ac:dyDescent="0.3"/>
    <row r="546" ht="15.75" customHeight="1" x14ac:dyDescent="0.3"/>
    <row r="547" ht="15.75" customHeight="1" x14ac:dyDescent="0.3"/>
    <row r="548" ht="15.75" customHeight="1" x14ac:dyDescent="0.3"/>
    <row r="549" ht="15.75" customHeight="1" x14ac:dyDescent="0.3"/>
    <row r="550" ht="15.75" customHeight="1" x14ac:dyDescent="0.3"/>
    <row r="551" ht="15.75" customHeight="1" x14ac:dyDescent="0.3"/>
    <row r="552" ht="15.75" customHeight="1" x14ac:dyDescent="0.3"/>
    <row r="553" ht="15.75" customHeight="1" x14ac:dyDescent="0.3"/>
    <row r="554" ht="15.75" customHeight="1" x14ac:dyDescent="0.3"/>
    <row r="555" ht="15.75" customHeight="1" x14ac:dyDescent="0.3"/>
    <row r="556" ht="15.75" customHeight="1" x14ac:dyDescent="0.3"/>
    <row r="557" ht="15.75" customHeight="1" x14ac:dyDescent="0.3"/>
    <row r="558" ht="15.75" customHeight="1" x14ac:dyDescent="0.3"/>
    <row r="559" ht="15.75" customHeight="1" x14ac:dyDescent="0.3"/>
    <row r="560" ht="15.75" customHeight="1" x14ac:dyDescent="0.3"/>
    <row r="561" ht="15.75" customHeight="1" x14ac:dyDescent="0.3"/>
    <row r="562" ht="15.75" customHeight="1" x14ac:dyDescent="0.3"/>
    <row r="563" ht="15.75" customHeight="1" x14ac:dyDescent="0.3"/>
    <row r="564" ht="15.75" customHeight="1" x14ac:dyDescent="0.3"/>
    <row r="565" ht="15.75" customHeight="1" x14ac:dyDescent="0.3"/>
    <row r="566" ht="15.75" customHeight="1" x14ac:dyDescent="0.3"/>
    <row r="567" ht="15.75" customHeight="1" x14ac:dyDescent="0.3"/>
    <row r="568" ht="15.75" customHeight="1" x14ac:dyDescent="0.3"/>
    <row r="569" ht="15.75" customHeight="1" x14ac:dyDescent="0.3"/>
    <row r="570" ht="15.75" customHeight="1" x14ac:dyDescent="0.3"/>
    <row r="571" ht="15.75" customHeight="1" x14ac:dyDescent="0.3"/>
    <row r="572" ht="15.75" customHeight="1" x14ac:dyDescent="0.3"/>
    <row r="573" ht="15.75" customHeight="1" x14ac:dyDescent="0.3"/>
    <row r="574" ht="15.75" customHeight="1" x14ac:dyDescent="0.3"/>
    <row r="575" ht="15.75" customHeight="1" x14ac:dyDescent="0.3"/>
    <row r="576" ht="15.75" customHeight="1" x14ac:dyDescent="0.3"/>
    <row r="577" ht="15.75" customHeight="1" x14ac:dyDescent="0.3"/>
    <row r="578" ht="15.75" customHeight="1" x14ac:dyDescent="0.3"/>
    <row r="579" ht="15.75" customHeight="1" x14ac:dyDescent="0.3"/>
    <row r="580" ht="15.75" customHeight="1" x14ac:dyDescent="0.3"/>
    <row r="581" ht="15.75" customHeight="1" x14ac:dyDescent="0.3"/>
    <row r="582" ht="15.75" customHeight="1" x14ac:dyDescent="0.3"/>
    <row r="583" ht="15.75" customHeight="1" x14ac:dyDescent="0.3"/>
    <row r="584" ht="15.75" customHeight="1" x14ac:dyDescent="0.3"/>
    <row r="585" ht="15.75" customHeight="1" x14ac:dyDescent="0.3"/>
    <row r="586" ht="15.75" customHeight="1" x14ac:dyDescent="0.3"/>
    <row r="587" ht="15.75" customHeight="1" x14ac:dyDescent="0.3"/>
    <row r="588" ht="15.75" customHeight="1" x14ac:dyDescent="0.3"/>
    <row r="589" ht="15.75" customHeight="1" x14ac:dyDescent="0.3"/>
    <row r="590" ht="15.75" customHeight="1" x14ac:dyDescent="0.3"/>
    <row r="591" ht="15.75" customHeight="1" x14ac:dyDescent="0.3"/>
    <row r="592" ht="15.75" customHeight="1" x14ac:dyDescent="0.3"/>
    <row r="593" ht="15.75" customHeight="1" x14ac:dyDescent="0.3"/>
    <row r="594" ht="15.75" customHeight="1" x14ac:dyDescent="0.3"/>
    <row r="595" ht="15.75" customHeight="1" x14ac:dyDescent="0.3"/>
    <row r="596" ht="15.75" customHeight="1" x14ac:dyDescent="0.3"/>
    <row r="597" ht="15.75" customHeight="1" x14ac:dyDescent="0.3"/>
    <row r="598" ht="15.75" customHeight="1" x14ac:dyDescent="0.3"/>
    <row r="599" ht="15.75" customHeight="1" x14ac:dyDescent="0.3"/>
    <row r="600" ht="15.75" customHeight="1" x14ac:dyDescent="0.3"/>
    <row r="601" ht="15.75" customHeight="1" x14ac:dyDescent="0.3"/>
    <row r="602" ht="15.75" customHeight="1" x14ac:dyDescent="0.3"/>
    <row r="603" ht="15.75" customHeight="1" x14ac:dyDescent="0.3"/>
    <row r="604" ht="15.75" customHeight="1" x14ac:dyDescent="0.3"/>
    <row r="605" ht="15.75" customHeight="1" x14ac:dyDescent="0.3"/>
    <row r="606" ht="15.75" customHeight="1" x14ac:dyDescent="0.3"/>
    <row r="607" ht="15.75" customHeight="1" x14ac:dyDescent="0.3"/>
    <row r="608" ht="15.75" customHeight="1" x14ac:dyDescent="0.3"/>
    <row r="609" ht="15.75" customHeight="1" x14ac:dyDescent="0.3"/>
    <row r="610" ht="15.75" customHeight="1" x14ac:dyDescent="0.3"/>
    <row r="611" ht="15.75" customHeight="1" x14ac:dyDescent="0.3"/>
    <row r="612" ht="15.75" customHeight="1" x14ac:dyDescent="0.3"/>
    <row r="613" ht="15.75" customHeight="1" x14ac:dyDescent="0.3"/>
    <row r="614" ht="15.75" customHeight="1" x14ac:dyDescent="0.3"/>
    <row r="615" ht="15.75" customHeight="1" x14ac:dyDescent="0.3"/>
    <row r="616" ht="15.75" customHeight="1" x14ac:dyDescent="0.3"/>
    <row r="617" ht="15.75" customHeight="1" x14ac:dyDescent="0.3"/>
    <row r="618" ht="15.75" customHeight="1" x14ac:dyDescent="0.3"/>
    <row r="619" ht="15.75" customHeight="1" x14ac:dyDescent="0.3"/>
    <row r="620" ht="15.75" customHeight="1" x14ac:dyDescent="0.3"/>
    <row r="621" ht="15.75" customHeight="1" x14ac:dyDescent="0.3"/>
    <row r="622" ht="15.75" customHeight="1" x14ac:dyDescent="0.3"/>
    <row r="623" ht="15.75" customHeight="1" x14ac:dyDescent="0.3"/>
    <row r="624" ht="15.75" customHeight="1" x14ac:dyDescent="0.3"/>
    <row r="625" ht="15.75" customHeight="1" x14ac:dyDescent="0.3"/>
    <row r="626" ht="15.75" customHeight="1" x14ac:dyDescent="0.3"/>
    <row r="627" ht="15.75" customHeight="1" x14ac:dyDescent="0.3"/>
    <row r="628" ht="15.75" customHeight="1" x14ac:dyDescent="0.3"/>
    <row r="629" ht="15.75" customHeight="1" x14ac:dyDescent="0.3"/>
    <row r="630" ht="15.75" customHeight="1" x14ac:dyDescent="0.3"/>
    <row r="631" ht="15.75" customHeight="1" x14ac:dyDescent="0.3"/>
    <row r="632" ht="15.75" customHeight="1" x14ac:dyDescent="0.3"/>
    <row r="633" ht="15.75" customHeight="1" x14ac:dyDescent="0.3"/>
    <row r="634" ht="15.75" customHeight="1" x14ac:dyDescent="0.3"/>
    <row r="635" ht="15.75" customHeight="1" x14ac:dyDescent="0.3"/>
    <row r="636" ht="15.75" customHeight="1" x14ac:dyDescent="0.3"/>
    <row r="637" ht="15.75" customHeight="1" x14ac:dyDescent="0.3"/>
    <row r="638" ht="15.75" customHeight="1" x14ac:dyDescent="0.3"/>
    <row r="639" ht="15.75" customHeight="1" x14ac:dyDescent="0.3"/>
    <row r="640" ht="15.75" customHeight="1" x14ac:dyDescent="0.3"/>
    <row r="641" ht="15.75" customHeight="1" x14ac:dyDescent="0.3"/>
    <row r="642" ht="15.75" customHeight="1" x14ac:dyDescent="0.3"/>
    <row r="643" ht="15.75" customHeight="1" x14ac:dyDescent="0.3"/>
    <row r="644" ht="15.75" customHeight="1" x14ac:dyDescent="0.3"/>
    <row r="645" ht="15.75" customHeight="1" x14ac:dyDescent="0.3"/>
    <row r="646" ht="15.75" customHeight="1" x14ac:dyDescent="0.3"/>
    <row r="647" ht="15.75" customHeight="1" x14ac:dyDescent="0.3"/>
    <row r="648" ht="15.75" customHeight="1" x14ac:dyDescent="0.3"/>
    <row r="649" ht="15.75" customHeight="1" x14ac:dyDescent="0.3"/>
    <row r="650" ht="15.75" customHeight="1" x14ac:dyDescent="0.3"/>
    <row r="651" ht="15.75" customHeight="1" x14ac:dyDescent="0.3"/>
    <row r="652" ht="15.75" customHeight="1" x14ac:dyDescent="0.3"/>
    <row r="653" ht="15.75" customHeight="1" x14ac:dyDescent="0.3"/>
    <row r="654" ht="15.75" customHeight="1" x14ac:dyDescent="0.3"/>
    <row r="655" ht="15.75" customHeight="1" x14ac:dyDescent="0.3"/>
    <row r="656" ht="15.75" customHeight="1" x14ac:dyDescent="0.3"/>
    <row r="657" ht="15.75" customHeight="1" x14ac:dyDescent="0.3"/>
    <row r="658" ht="15.75" customHeight="1" x14ac:dyDescent="0.3"/>
    <row r="659" ht="15.75" customHeight="1" x14ac:dyDescent="0.3"/>
    <row r="660" ht="15.75" customHeight="1" x14ac:dyDescent="0.3"/>
    <row r="661" ht="15.75" customHeight="1" x14ac:dyDescent="0.3"/>
    <row r="662" ht="15.75" customHeight="1" x14ac:dyDescent="0.3"/>
    <row r="663" ht="15.75" customHeight="1" x14ac:dyDescent="0.3"/>
    <row r="664" ht="15.75" customHeight="1" x14ac:dyDescent="0.3"/>
    <row r="665" ht="15.75" customHeight="1" x14ac:dyDescent="0.3"/>
    <row r="666" ht="15.75" customHeight="1" x14ac:dyDescent="0.3"/>
    <row r="667" ht="15.75" customHeight="1" x14ac:dyDescent="0.3"/>
    <row r="668" ht="15.75" customHeight="1" x14ac:dyDescent="0.3"/>
    <row r="669" ht="15.75" customHeight="1" x14ac:dyDescent="0.3"/>
    <row r="670" ht="15.75" customHeight="1" x14ac:dyDescent="0.3"/>
    <row r="671" ht="15.75" customHeight="1" x14ac:dyDescent="0.3"/>
    <row r="672" ht="15.75" customHeight="1" x14ac:dyDescent="0.3"/>
    <row r="673" ht="15.75" customHeight="1" x14ac:dyDescent="0.3"/>
    <row r="674" ht="15.75" customHeight="1" x14ac:dyDescent="0.3"/>
    <row r="675" ht="15.75" customHeight="1" x14ac:dyDescent="0.3"/>
    <row r="676" ht="15.75" customHeight="1" x14ac:dyDescent="0.3"/>
    <row r="677" ht="15.75" customHeight="1" x14ac:dyDescent="0.3"/>
    <row r="678" ht="15.75" customHeight="1" x14ac:dyDescent="0.3"/>
    <row r="679" ht="15.75" customHeight="1" x14ac:dyDescent="0.3"/>
    <row r="680" ht="15.75" customHeight="1" x14ac:dyDescent="0.3"/>
    <row r="681" ht="15.75" customHeight="1" x14ac:dyDescent="0.3"/>
    <row r="682" ht="15.75" customHeight="1" x14ac:dyDescent="0.3"/>
    <row r="683" ht="15.75" customHeight="1" x14ac:dyDescent="0.3"/>
    <row r="684" ht="15.75" customHeight="1" x14ac:dyDescent="0.3"/>
    <row r="685" ht="15.75" customHeight="1" x14ac:dyDescent="0.3"/>
    <row r="686" ht="15.75" customHeight="1" x14ac:dyDescent="0.3"/>
    <row r="687" ht="15.75" customHeight="1" x14ac:dyDescent="0.3"/>
    <row r="688" ht="15.75" customHeight="1" x14ac:dyDescent="0.3"/>
    <row r="689" ht="15.75" customHeight="1" x14ac:dyDescent="0.3"/>
    <row r="690" ht="15.75" customHeight="1" x14ac:dyDescent="0.3"/>
    <row r="691" ht="15.75" customHeight="1" x14ac:dyDescent="0.3"/>
    <row r="692" ht="15.75" customHeight="1" x14ac:dyDescent="0.3"/>
    <row r="693" ht="15.75" customHeight="1" x14ac:dyDescent="0.3"/>
    <row r="694" ht="15.75" customHeight="1" x14ac:dyDescent="0.3"/>
    <row r="695" ht="15.75" customHeight="1" x14ac:dyDescent="0.3"/>
    <row r="696" ht="15.75" customHeight="1" x14ac:dyDescent="0.3"/>
    <row r="697" ht="15.75" customHeight="1" x14ac:dyDescent="0.3"/>
    <row r="698" ht="15.75" customHeight="1" x14ac:dyDescent="0.3"/>
    <row r="699" ht="15.75" customHeight="1" x14ac:dyDescent="0.3"/>
    <row r="700" ht="15.75" customHeight="1" x14ac:dyDescent="0.3"/>
    <row r="701" ht="15.75" customHeight="1" x14ac:dyDescent="0.3"/>
    <row r="702" ht="15.75" customHeight="1" x14ac:dyDescent="0.3"/>
    <row r="703" ht="15.75" customHeight="1" x14ac:dyDescent="0.3"/>
    <row r="704" ht="15.75" customHeight="1" x14ac:dyDescent="0.3"/>
    <row r="705" ht="15.75" customHeight="1" x14ac:dyDescent="0.3"/>
    <row r="706" ht="15.75" customHeight="1" x14ac:dyDescent="0.3"/>
    <row r="707" ht="15.75" customHeight="1" x14ac:dyDescent="0.3"/>
    <row r="708" ht="15.75" customHeight="1" x14ac:dyDescent="0.3"/>
    <row r="709" ht="15.75" customHeight="1" x14ac:dyDescent="0.3"/>
    <row r="710" ht="15.75" customHeight="1" x14ac:dyDescent="0.3"/>
    <row r="711" ht="15.75" customHeight="1" x14ac:dyDescent="0.3"/>
    <row r="712" ht="15.75" customHeight="1" x14ac:dyDescent="0.3"/>
    <row r="713" ht="15.75" customHeight="1" x14ac:dyDescent="0.3"/>
    <row r="714" ht="15.75" customHeight="1" x14ac:dyDescent="0.3"/>
    <row r="715" ht="15.75" customHeight="1" x14ac:dyDescent="0.3"/>
    <row r="716" ht="15.75" customHeight="1" x14ac:dyDescent="0.3"/>
    <row r="717" ht="15.75" customHeight="1" x14ac:dyDescent="0.3"/>
    <row r="718" ht="15.75" customHeight="1" x14ac:dyDescent="0.3"/>
    <row r="719" ht="15.75" customHeight="1" x14ac:dyDescent="0.3"/>
    <row r="720" ht="15.75" customHeight="1" x14ac:dyDescent="0.3"/>
    <row r="721" ht="15.75" customHeight="1" x14ac:dyDescent="0.3"/>
    <row r="722" ht="15.75" customHeight="1" x14ac:dyDescent="0.3"/>
    <row r="723" ht="15.75" customHeight="1" x14ac:dyDescent="0.3"/>
    <row r="724" ht="15.75" customHeight="1" x14ac:dyDescent="0.3"/>
    <row r="725" ht="15.75" customHeight="1" x14ac:dyDescent="0.3"/>
    <row r="726" ht="15.75" customHeight="1" x14ac:dyDescent="0.3"/>
    <row r="727" ht="15.75" customHeight="1" x14ac:dyDescent="0.3"/>
    <row r="728" ht="15.75" customHeight="1" x14ac:dyDescent="0.3"/>
    <row r="729" ht="15.75" customHeight="1" x14ac:dyDescent="0.3"/>
    <row r="730" ht="15.75" customHeight="1" x14ac:dyDescent="0.3"/>
    <row r="731" ht="15.75" customHeight="1" x14ac:dyDescent="0.3"/>
    <row r="732" ht="15.75" customHeight="1" x14ac:dyDescent="0.3"/>
    <row r="733" ht="15.75" customHeight="1" x14ac:dyDescent="0.3"/>
    <row r="734" ht="15.75" customHeight="1" x14ac:dyDescent="0.3"/>
    <row r="735" ht="15.75" customHeight="1" x14ac:dyDescent="0.3"/>
    <row r="736" ht="15.75" customHeight="1" x14ac:dyDescent="0.3"/>
    <row r="737" ht="15.75" customHeight="1" x14ac:dyDescent="0.3"/>
    <row r="738" ht="15.75" customHeight="1" x14ac:dyDescent="0.3"/>
    <row r="739" ht="15.75" customHeight="1" x14ac:dyDescent="0.3"/>
    <row r="740" ht="15.75" customHeight="1" x14ac:dyDescent="0.3"/>
    <row r="741" ht="15.75" customHeight="1" x14ac:dyDescent="0.3"/>
    <row r="742" ht="15.75" customHeight="1" x14ac:dyDescent="0.3"/>
    <row r="743" ht="15.75" customHeight="1" x14ac:dyDescent="0.3"/>
    <row r="744" ht="15.75" customHeight="1" x14ac:dyDescent="0.3"/>
    <row r="745" ht="15.75" customHeight="1" x14ac:dyDescent="0.3"/>
    <row r="746" ht="15.75" customHeight="1" x14ac:dyDescent="0.3"/>
    <row r="747" ht="15.75" customHeight="1" x14ac:dyDescent="0.3"/>
    <row r="748" ht="15.75" customHeight="1" x14ac:dyDescent="0.3"/>
    <row r="749" ht="15.75" customHeight="1" x14ac:dyDescent="0.3"/>
    <row r="750" ht="15.75" customHeight="1" x14ac:dyDescent="0.3"/>
    <row r="751" ht="15.75" customHeight="1" x14ac:dyDescent="0.3"/>
    <row r="752" ht="15.75" customHeight="1" x14ac:dyDescent="0.3"/>
    <row r="753" ht="15.75" customHeight="1" x14ac:dyDescent="0.3"/>
    <row r="754" ht="15.75" customHeight="1" x14ac:dyDescent="0.3"/>
    <row r="755" ht="15.75" customHeight="1" x14ac:dyDescent="0.3"/>
    <row r="756" ht="15.75" customHeight="1" x14ac:dyDescent="0.3"/>
    <row r="757" ht="15.75" customHeight="1" x14ac:dyDescent="0.3"/>
    <row r="758" ht="15.75" customHeight="1" x14ac:dyDescent="0.3"/>
    <row r="759" ht="15.75" customHeight="1" x14ac:dyDescent="0.3"/>
    <row r="760" ht="15.75" customHeight="1" x14ac:dyDescent="0.3"/>
    <row r="761" ht="15.75" customHeight="1" x14ac:dyDescent="0.3"/>
    <row r="762" ht="15.75" customHeight="1" x14ac:dyDescent="0.3"/>
    <row r="763" ht="15.75" customHeight="1" x14ac:dyDescent="0.3"/>
    <row r="764" ht="15.75" customHeight="1" x14ac:dyDescent="0.3"/>
    <row r="765" ht="15.75" customHeight="1" x14ac:dyDescent="0.3"/>
    <row r="766" ht="15.75" customHeight="1" x14ac:dyDescent="0.3"/>
    <row r="767" ht="15.75" customHeight="1" x14ac:dyDescent="0.3"/>
    <row r="768" ht="15.75" customHeight="1" x14ac:dyDescent="0.3"/>
    <row r="769" ht="15.75" customHeight="1" x14ac:dyDescent="0.3"/>
    <row r="770" ht="15.75" customHeight="1" x14ac:dyDescent="0.3"/>
    <row r="771" ht="15.75" customHeight="1" x14ac:dyDescent="0.3"/>
    <row r="772" ht="15.75" customHeight="1" x14ac:dyDescent="0.3"/>
    <row r="773" ht="15.75" customHeight="1" x14ac:dyDescent="0.3"/>
    <row r="774" ht="15.75" customHeight="1" x14ac:dyDescent="0.3"/>
    <row r="775" ht="15.75" customHeight="1" x14ac:dyDescent="0.3"/>
    <row r="776" ht="15.75" customHeight="1" x14ac:dyDescent="0.3"/>
    <row r="777" ht="15.75" customHeight="1" x14ac:dyDescent="0.3"/>
    <row r="778" ht="15.75" customHeight="1" x14ac:dyDescent="0.3"/>
    <row r="779" ht="15.75" customHeight="1" x14ac:dyDescent="0.3"/>
    <row r="780" ht="15.75" customHeight="1" x14ac:dyDescent="0.3"/>
    <row r="781" ht="15.75" customHeight="1" x14ac:dyDescent="0.3"/>
    <row r="782" ht="15.75" customHeight="1" x14ac:dyDescent="0.3"/>
    <row r="783" ht="15.75" customHeight="1" x14ac:dyDescent="0.3"/>
    <row r="784" ht="15.75" customHeight="1" x14ac:dyDescent="0.3"/>
    <row r="785" ht="15.75" customHeight="1" x14ac:dyDescent="0.3"/>
    <row r="786" ht="15.75" customHeight="1" x14ac:dyDescent="0.3"/>
    <row r="787" ht="15.75" customHeight="1" x14ac:dyDescent="0.3"/>
    <row r="788" ht="15.75" customHeight="1" x14ac:dyDescent="0.3"/>
    <row r="789" ht="15.75" customHeight="1" x14ac:dyDescent="0.3"/>
    <row r="790" ht="15.75" customHeight="1" x14ac:dyDescent="0.3"/>
    <row r="791" ht="15.75" customHeight="1" x14ac:dyDescent="0.3"/>
    <row r="792" ht="15.75" customHeight="1" x14ac:dyDescent="0.3"/>
    <row r="793" ht="15.75" customHeight="1" x14ac:dyDescent="0.3"/>
    <row r="794" ht="15.75" customHeight="1" x14ac:dyDescent="0.3"/>
    <row r="795" ht="15.75" customHeight="1" x14ac:dyDescent="0.3"/>
    <row r="796" ht="15.75" customHeight="1" x14ac:dyDescent="0.3"/>
    <row r="797" ht="15.75" customHeight="1" x14ac:dyDescent="0.3"/>
    <row r="798" ht="15.75" customHeight="1" x14ac:dyDescent="0.3"/>
    <row r="799" ht="15.75" customHeight="1" x14ac:dyDescent="0.3"/>
    <row r="800" ht="15.75" customHeight="1" x14ac:dyDescent="0.3"/>
    <row r="801" ht="15.75" customHeight="1" x14ac:dyDescent="0.3"/>
    <row r="802" ht="15.75" customHeight="1" x14ac:dyDescent="0.3"/>
    <row r="803" ht="15.75" customHeight="1" x14ac:dyDescent="0.3"/>
    <row r="804" ht="15.75" customHeight="1" x14ac:dyDescent="0.3"/>
    <row r="805" ht="15.75" customHeight="1" x14ac:dyDescent="0.3"/>
    <row r="806" ht="15.75" customHeight="1" x14ac:dyDescent="0.3"/>
    <row r="807" ht="15.75" customHeight="1" x14ac:dyDescent="0.3"/>
    <row r="808" ht="15.75" customHeight="1" x14ac:dyDescent="0.3"/>
    <row r="809" ht="15.75" customHeight="1" x14ac:dyDescent="0.3"/>
    <row r="810" ht="15.75" customHeight="1" x14ac:dyDescent="0.3"/>
    <row r="811" ht="15.75" customHeight="1" x14ac:dyDescent="0.3"/>
    <row r="812" ht="15.75" customHeight="1" x14ac:dyDescent="0.3"/>
    <row r="813" ht="15.75" customHeight="1" x14ac:dyDescent="0.3"/>
    <row r="814" ht="15.75" customHeight="1" x14ac:dyDescent="0.3"/>
    <row r="815" ht="15.75" customHeight="1" x14ac:dyDescent="0.3"/>
    <row r="816" ht="15.75" customHeight="1" x14ac:dyDescent="0.3"/>
    <row r="817" ht="15.75" customHeight="1" x14ac:dyDescent="0.3"/>
    <row r="818" ht="15.75" customHeight="1" x14ac:dyDescent="0.3"/>
    <row r="819" ht="15.75" customHeight="1" x14ac:dyDescent="0.3"/>
    <row r="820" ht="15.75" customHeight="1" x14ac:dyDescent="0.3"/>
    <row r="821" ht="15.75" customHeight="1" x14ac:dyDescent="0.3"/>
    <row r="822" ht="15.75" customHeight="1" x14ac:dyDescent="0.3"/>
    <row r="823" ht="15.75" customHeight="1" x14ac:dyDescent="0.3"/>
    <row r="824" ht="15.75" customHeight="1" x14ac:dyDescent="0.3"/>
    <row r="825" ht="15.75" customHeight="1" x14ac:dyDescent="0.3"/>
    <row r="826" ht="15.75" customHeight="1" x14ac:dyDescent="0.3"/>
    <row r="827" ht="15.75" customHeight="1" x14ac:dyDescent="0.3"/>
    <row r="828" ht="15.75" customHeight="1" x14ac:dyDescent="0.3"/>
    <row r="829" ht="15.75" customHeight="1" x14ac:dyDescent="0.3"/>
    <row r="830" ht="15.75" customHeight="1" x14ac:dyDescent="0.3"/>
    <row r="831" ht="15.75" customHeight="1" x14ac:dyDescent="0.3"/>
    <row r="832" ht="15.75" customHeight="1" x14ac:dyDescent="0.3"/>
    <row r="833" ht="15.75" customHeight="1" x14ac:dyDescent="0.3"/>
    <row r="834" ht="15.75" customHeight="1" x14ac:dyDescent="0.3"/>
    <row r="835" ht="15.75" customHeight="1" x14ac:dyDescent="0.3"/>
    <row r="836" ht="15.75" customHeight="1" x14ac:dyDescent="0.3"/>
    <row r="837" ht="15.75" customHeight="1" x14ac:dyDescent="0.3"/>
    <row r="838" ht="15.75" customHeight="1" x14ac:dyDescent="0.3"/>
    <row r="839" ht="15.75" customHeight="1" x14ac:dyDescent="0.3"/>
    <row r="840" ht="15.75" customHeight="1" x14ac:dyDescent="0.3"/>
    <row r="841" ht="15.75" customHeight="1" x14ac:dyDescent="0.3"/>
    <row r="842" ht="15.75" customHeight="1" x14ac:dyDescent="0.3"/>
    <row r="843" ht="15.75" customHeight="1" x14ac:dyDescent="0.3"/>
    <row r="844" ht="15.75" customHeight="1" x14ac:dyDescent="0.3"/>
    <row r="845" ht="15.75" customHeight="1" x14ac:dyDescent="0.3"/>
    <row r="846" ht="15.75" customHeight="1" x14ac:dyDescent="0.3"/>
    <row r="847" ht="15.75" customHeight="1" x14ac:dyDescent="0.3"/>
    <row r="848" ht="15.75" customHeight="1" x14ac:dyDescent="0.3"/>
    <row r="849" ht="15.75" customHeight="1" x14ac:dyDescent="0.3"/>
    <row r="850" ht="15.75" customHeight="1" x14ac:dyDescent="0.3"/>
    <row r="851" ht="15.75" customHeight="1" x14ac:dyDescent="0.3"/>
    <row r="852" ht="15.75" customHeight="1" x14ac:dyDescent="0.3"/>
    <row r="853" ht="15.75" customHeight="1" x14ac:dyDescent="0.3"/>
    <row r="854" ht="15.75" customHeight="1" x14ac:dyDescent="0.3"/>
    <row r="855" ht="15.75" customHeight="1" x14ac:dyDescent="0.3"/>
    <row r="856" ht="15.75" customHeight="1" x14ac:dyDescent="0.3"/>
    <row r="857" ht="15.75" customHeight="1" x14ac:dyDescent="0.3"/>
    <row r="858" ht="15.75" customHeight="1" x14ac:dyDescent="0.3"/>
    <row r="859" ht="15.75" customHeight="1" x14ac:dyDescent="0.3"/>
    <row r="860" ht="15.75" customHeight="1" x14ac:dyDescent="0.3"/>
    <row r="861" ht="15.75" customHeight="1" x14ac:dyDescent="0.3"/>
    <row r="862" ht="15.75" customHeight="1" x14ac:dyDescent="0.3"/>
    <row r="863" ht="15.75" customHeight="1" x14ac:dyDescent="0.3"/>
    <row r="864" ht="15.75" customHeight="1" x14ac:dyDescent="0.3"/>
    <row r="865" ht="15.75" customHeight="1" x14ac:dyDescent="0.3"/>
    <row r="866" ht="15.75" customHeight="1" x14ac:dyDescent="0.3"/>
    <row r="867" ht="15.75" customHeight="1" x14ac:dyDescent="0.3"/>
    <row r="868" ht="15.75" customHeight="1" x14ac:dyDescent="0.3"/>
    <row r="869" ht="15.75" customHeight="1" x14ac:dyDescent="0.3"/>
    <row r="870" ht="15.75" customHeight="1" x14ac:dyDescent="0.3"/>
    <row r="871" ht="15.75" customHeight="1" x14ac:dyDescent="0.3"/>
    <row r="872" ht="15.75" customHeight="1" x14ac:dyDescent="0.3"/>
    <row r="873" ht="15.75" customHeight="1" x14ac:dyDescent="0.3"/>
    <row r="874" ht="15.75" customHeight="1" x14ac:dyDescent="0.3"/>
    <row r="875" ht="15.75" customHeight="1" x14ac:dyDescent="0.3"/>
    <row r="876" ht="15.75" customHeight="1" x14ac:dyDescent="0.3"/>
    <row r="877" ht="15.75" customHeight="1" x14ac:dyDescent="0.3"/>
    <row r="878" ht="15.75" customHeight="1" x14ac:dyDescent="0.3"/>
    <row r="879" ht="15.75" customHeight="1" x14ac:dyDescent="0.3"/>
    <row r="880" ht="15.75" customHeight="1" x14ac:dyDescent="0.3"/>
    <row r="881" ht="15.75" customHeight="1" x14ac:dyDescent="0.3"/>
    <row r="882" ht="15.75" customHeight="1" x14ac:dyDescent="0.3"/>
    <row r="883" ht="15.75" customHeight="1" x14ac:dyDescent="0.3"/>
    <row r="884" ht="15.75" customHeight="1" x14ac:dyDescent="0.3"/>
    <row r="885" ht="15.75" customHeight="1" x14ac:dyDescent="0.3"/>
    <row r="886" ht="15.75" customHeight="1" x14ac:dyDescent="0.3"/>
    <row r="887" ht="15.75" customHeight="1" x14ac:dyDescent="0.3"/>
    <row r="888" ht="15.75" customHeight="1" x14ac:dyDescent="0.3"/>
    <row r="889" ht="15.75" customHeight="1" x14ac:dyDescent="0.3"/>
    <row r="890" ht="15.75" customHeight="1" x14ac:dyDescent="0.3"/>
    <row r="891" ht="15.75" customHeight="1" x14ac:dyDescent="0.3"/>
    <row r="892" ht="15.75" customHeight="1" x14ac:dyDescent="0.3"/>
    <row r="893" ht="15.75" customHeight="1" x14ac:dyDescent="0.3"/>
    <row r="894" ht="15.75" customHeight="1" x14ac:dyDescent="0.3"/>
    <row r="895" ht="15.75" customHeight="1" x14ac:dyDescent="0.3"/>
    <row r="896" ht="15.75" customHeight="1" x14ac:dyDescent="0.3"/>
    <row r="897" ht="15.75" customHeight="1" x14ac:dyDescent="0.3"/>
    <row r="898" ht="15.75" customHeight="1" x14ac:dyDescent="0.3"/>
    <row r="899" ht="15.75" customHeight="1" x14ac:dyDescent="0.3"/>
    <row r="900" ht="15.75" customHeight="1" x14ac:dyDescent="0.3"/>
    <row r="901" ht="15.75" customHeight="1" x14ac:dyDescent="0.3"/>
    <row r="902" ht="15.75" customHeight="1" x14ac:dyDescent="0.3"/>
    <row r="903" ht="15.75" customHeight="1" x14ac:dyDescent="0.3"/>
    <row r="904" ht="15.75" customHeight="1" x14ac:dyDescent="0.3"/>
    <row r="905" ht="15.75" customHeight="1" x14ac:dyDescent="0.3"/>
    <row r="906" ht="15.75" customHeight="1" x14ac:dyDescent="0.3"/>
    <row r="907" ht="15.75" customHeight="1" x14ac:dyDescent="0.3"/>
    <row r="908" ht="15.75" customHeight="1" x14ac:dyDescent="0.3"/>
    <row r="909" ht="15.75" customHeight="1" x14ac:dyDescent="0.3"/>
    <row r="910" ht="15.75" customHeight="1" x14ac:dyDescent="0.3"/>
    <row r="911" ht="15.75" customHeight="1" x14ac:dyDescent="0.3"/>
    <row r="912" ht="15.75" customHeight="1" x14ac:dyDescent="0.3"/>
    <row r="913" ht="15.75" customHeight="1" x14ac:dyDescent="0.3"/>
    <row r="914" ht="15.75" customHeight="1" x14ac:dyDescent="0.3"/>
    <row r="915" ht="15.75" customHeight="1" x14ac:dyDescent="0.3"/>
    <row r="916" ht="15.75" customHeight="1" x14ac:dyDescent="0.3"/>
    <row r="917" ht="15.75" customHeight="1" x14ac:dyDescent="0.3"/>
    <row r="918" ht="15.75" customHeight="1" x14ac:dyDescent="0.3"/>
    <row r="919" ht="15.75" customHeight="1" x14ac:dyDescent="0.3"/>
    <row r="920" ht="15.75" customHeight="1" x14ac:dyDescent="0.3"/>
    <row r="921" ht="15.75" customHeight="1" x14ac:dyDescent="0.3"/>
    <row r="922" ht="15.75" customHeight="1" x14ac:dyDescent="0.3"/>
    <row r="923" ht="15.75" customHeight="1" x14ac:dyDescent="0.3"/>
    <row r="924" ht="15.75" customHeight="1" x14ac:dyDescent="0.3"/>
    <row r="925" ht="15.75" customHeight="1" x14ac:dyDescent="0.3"/>
    <row r="926" ht="15.75" customHeight="1" x14ac:dyDescent="0.3"/>
    <row r="927" ht="15.75" customHeight="1" x14ac:dyDescent="0.3"/>
    <row r="928" ht="15.75" customHeight="1" x14ac:dyDescent="0.3"/>
    <row r="929" ht="15.75" customHeight="1" x14ac:dyDescent="0.3"/>
    <row r="930" ht="15.75" customHeight="1" x14ac:dyDescent="0.3"/>
    <row r="931" ht="15.75" customHeight="1" x14ac:dyDescent="0.3"/>
    <row r="932" ht="15.75" customHeight="1" x14ac:dyDescent="0.3"/>
    <row r="933" ht="15.75" customHeight="1" x14ac:dyDescent="0.3"/>
    <row r="934" ht="15.75" customHeight="1" x14ac:dyDescent="0.3"/>
    <row r="935" ht="15.75" customHeight="1" x14ac:dyDescent="0.3"/>
    <row r="936" ht="15.75" customHeight="1" x14ac:dyDescent="0.3"/>
    <row r="937" ht="15.75" customHeight="1" x14ac:dyDescent="0.3"/>
    <row r="938" ht="15.75" customHeight="1" x14ac:dyDescent="0.3"/>
    <row r="939" ht="15.75" customHeight="1" x14ac:dyDescent="0.3"/>
    <row r="940" ht="15.75" customHeight="1" x14ac:dyDescent="0.3"/>
    <row r="941" ht="15.75" customHeight="1" x14ac:dyDescent="0.3"/>
    <row r="942" ht="15.75" customHeight="1" x14ac:dyDescent="0.3"/>
    <row r="943" ht="15.75" customHeight="1" x14ac:dyDescent="0.3"/>
    <row r="944" ht="15.75" customHeight="1" x14ac:dyDescent="0.3"/>
    <row r="945" ht="15.75" customHeight="1" x14ac:dyDescent="0.3"/>
    <row r="946" ht="15.75" customHeight="1" x14ac:dyDescent="0.3"/>
    <row r="947" ht="15.75" customHeight="1" x14ac:dyDescent="0.3"/>
    <row r="948" ht="15.75" customHeight="1" x14ac:dyDescent="0.3"/>
    <row r="949" ht="15.75" customHeight="1" x14ac:dyDescent="0.3"/>
    <row r="950" ht="15.75" customHeight="1" x14ac:dyDescent="0.3"/>
    <row r="951" ht="15.75" customHeight="1" x14ac:dyDescent="0.3"/>
    <row r="952" ht="15.75" customHeight="1" x14ac:dyDescent="0.3"/>
    <row r="953" ht="15.75" customHeight="1" x14ac:dyDescent="0.3"/>
    <row r="954" ht="15.75" customHeight="1" x14ac:dyDescent="0.3"/>
    <row r="955" ht="15.75" customHeight="1" x14ac:dyDescent="0.3"/>
    <row r="956" ht="15.75" customHeight="1" x14ac:dyDescent="0.3"/>
    <row r="957" ht="15.75" customHeight="1" x14ac:dyDescent="0.3"/>
    <row r="958" ht="15.75" customHeight="1" x14ac:dyDescent="0.3"/>
    <row r="959" ht="15.75" customHeight="1" x14ac:dyDescent="0.3"/>
    <row r="960" ht="15.75" customHeight="1" x14ac:dyDescent="0.3"/>
    <row r="961" ht="15.75" customHeight="1" x14ac:dyDescent="0.3"/>
    <row r="962" ht="15.75" customHeight="1" x14ac:dyDescent="0.3"/>
    <row r="963" ht="15.75" customHeight="1" x14ac:dyDescent="0.3"/>
    <row r="964" ht="15.75" customHeight="1" x14ac:dyDescent="0.3"/>
    <row r="965" ht="15.75" customHeight="1" x14ac:dyDescent="0.3"/>
    <row r="966" ht="15.75" customHeight="1" x14ac:dyDescent="0.3"/>
    <row r="967" ht="15.75" customHeight="1" x14ac:dyDescent="0.3"/>
    <row r="968" ht="15.75" customHeight="1" x14ac:dyDescent="0.3"/>
    <row r="969" ht="15.75" customHeight="1" x14ac:dyDescent="0.3"/>
    <row r="970" ht="15.75" customHeight="1" x14ac:dyDescent="0.3"/>
    <row r="971" ht="15.75" customHeight="1" x14ac:dyDescent="0.3"/>
    <row r="972" ht="15.75" customHeight="1" x14ac:dyDescent="0.3"/>
    <row r="973" ht="15.75" customHeight="1" x14ac:dyDescent="0.3"/>
    <row r="974" ht="15.75" customHeight="1" x14ac:dyDescent="0.3"/>
    <row r="975" ht="15.75" customHeight="1" x14ac:dyDescent="0.3"/>
    <row r="976" ht="15.75" customHeight="1" x14ac:dyDescent="0.3"/>
    <row r="977" ht="15.75" customHeight="1" x14ac:dyDescent="0.3"/>
    <row r="978" ht="15.75" customHeight="1" x14ac:dyDescent="0.3"/>
    <row r="979" ht="15.75" customHeight="1" x14ac:dyDescent="0.3"/>
    <row r="980" ht="15.75" customHeight="1" x14ac:dyDescent="0.3"/>
    <row r="981" ht="15.75" customHeight="1" x14ac:dyDescent="0.3"/>
    <row r="982" ht="15.75" customHeight="1" x14ac:dyDescent="0.3"/>
    <row r="983" ht="15.75" customHeight="1" x14ac:dyDescent="0.3"/>
    <row r="984" ht="15.75" customHeight="1" x14ac:dyDescent="0.3"/>
    <row r="985" ht="15.75" customHeight="1" x14ac:dyDescent="0.3"/>
    <row r="986" ht="15.75" customHeight="1" x14ac:dyDescent="0.3"/>
    <row r="987" ht="15.75" customHeight="1" x14ac:dyDescent="0.3"/>
    <row r="988" ht="15.75" customHeight="1" x14ac:dyDescent="0.3"/>
    <row r="989" ht="15.75" customHeight="1" x14ac:dyDescent="0.3"/>
    <row r="990" ht="15.75" customHeight="1" x14ac:dyDescent="0.3"/>
    <row r="991" ht="15.75" customHeight="1" x14ac:dyDescent="0.3"/>
    <row r="992" ht="15.75" customHeight="1" x14ac:dyDescent="0.3"/>
    <row r="993" ht="15.75" customHeight="1" x14ac:dyDescent="0.3"/>
    <row r="994" ht="15.75" customHeight="1" x14ac:dyDescent="0.3"/>
    <row r="995" ht="15.75" customHeight="1" x14ac:dyDescent="0.3"/>
    <row r="996" ht="15.75" customHeight="1" x14ac:dyDescent="0.3"/>
    <row r="997" ht="15.75" customHeight="1" x14ac:dyDescent="0.3"/>
    <row r="998" ht="15.75" customHeight="1" x14ac:dyDescent="0.3"/>
    <row r="999" ht="15.75" customHeight="1" x14ac:dyDescent="0.3"/>
    <row r="1000" ht="15.75" customHeight="1" x14ac:dyDescent="0.3"/>
    <row r="1001" ht="15.75" customHeight="1" x14ac:dyDescent="0.3"/>
    <row r="1002" ht="15.75" customHeight="1" x14ac:dyDescent="0.3"/>
  </sheetData>
  <mergeCells count="4">
    <mergeCell ref="A3:A4"/>
    <mergeCell ref="B3:B4"/>
    <mergeCell ref="C3:V3"/>
    <mergeCell ref="W3:W4"/>
  </mergeCells>
  <pageMargins left="0.7" right="0.7" top="0.75" bottom="0.75" header="0" footer="0"/>
  <pageSetup paperSize="9" orientation="portrait"/>
  <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Sprint 0 </vt:lpstr>
      <vt:lpstr>Sprint 1</vt:lpstr>
      <vt:lpstr>Sprint 2</vt:lpstr>
      <vt:lpstr>Sprint 3</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Victor Rodrigo Galaz Silva</dc:creator>
  <cp:lastModifiedBy>ANTONIA CARELIS LIZANA RIVEROS</cp:lastModifiedBy>
  <dcterms:created xsi:type="dcterms:W3CDTF">2018-02-12T12:05:26Z</dcterms:created>
  <dcterms:modified xsi:type="dcterms:W3CDTF">2026-10-12T18:07:13Z</dcterms:modified>
</cp:coreProperties>
</file>