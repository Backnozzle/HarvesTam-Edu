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5.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Sprint Backlog 0" sheetId="1" state="visible" r:id="rId1"/>
    <sheet name="Sprint Backlog 1" sheetId="2" state="visible" r:id="rId2"/>
    <sheet name="Sprint Backlog 2" sheetId="3" state="visible" r:id="rId3"/>
    <sheet name="Sprint Backlog 3" sheetId="4" state="visible" r:id="rId4"/>
    <sheet name="Instructivo" sheetId="5" state="visible" r:id="rId5"/>
  </sheets>
  <calcPr/>
  <extLst>
    <ext xmlns:x15="http://schemas.microsoft.com/office/spreadsheetml/2010/11/main" uri="{D0CA8CA8-9F24-4464-BF8E-62219DCF47F9}"/>
  </extLst>
</workbook>
</file>

<file path=xl/sharedStrings.xml><?xml version="1.0" encoding="utf-8"?>
<sst xmlns="http://schemas.openxmlformats.org/spreadsheetml/2006/main" count="244" uniqueCount="244">
  <si>
    <t xml:space="preserve">Sprint Backlog 0</t>
  </si>
  <si>
    <t xml:space="preserve">Detalle de tareas e historias de usuario</t>
  </si>
  <si>
    <t xml:space="preserve">11 AGO</t>
  </si>
  <si>
    <t xml:space="preserve">Día 1</t>
  </si>
  <si>
    <t xml:space="preserve">Día 2</t>
  </si>
  <si>
    <t xml:space="preserve">Día 3</t>
  </si>
  <si>
    <t xml:space="preserve">Día 4</t>
  </si>
  <si>
    <t xml:space="preserve">Día 5</t>
  </si>
  <si>
    <t xml:space="preserve">Día 6</t>
  </si>
  <si>
    <t xml:space="preserve">Día 7</t>
  </si>
  <si>
    <t xml:space="preserve">Día 8</t>
  </si>
  <si>
    <t xml:space="preserve">Día 9</t>
  </si>
  <si>
    <t xml:space="preserve">Día 10</t>
  </si>
  <si>
    <t xml:space="preserve">Día 11</t>
  </si>
  <si>
    <t xml:space="preserve">Día 12</t>
  </si>
  <si>
    <t xml:space="preserve">Día 13</t>
  </si>
  <si>
    <t xml:space="preserve">Día 14</t>
  </si>
  <si>
    <t xml:space="preserve">Día 15</t>
  </si>
  <si>
    <t xml:space="preserve">Día 16</t>
  </si>
  <si>
    <t xml:space="preserve">Día 17</t>
  </si>
  <si>
    <t xml:space="preserve">Día 18</t>
  </si>
  <si>
    <t xml:space="preserve">Día 19</t>
  </si>
  <si>
    <t xml:space="preserve">Día 20</t>
  </si>
  <si>
    <t>Total</t>
  </si>
  <si>
    <t xml:space="preserve">Identificador (ID) de item de product backlog</t>
  </si>
  <si>
    <t xml:space="preserve">Enunciado del item de Product Backlog</t>
  </si>
  <si>
    <t>Tarea</t>
  </si>
  <si>
    <t xml:space="preserve">Dueño / Voluntario</t>
  </si>
  <si>
    <t>Estatus</t>
  </si>
  <si>
    <t xml:space="preserve">ID Tarea</t>
  </si>
  <si>
    <t xml:space="preserve">Horas estimadas totales</t>
  </si>
  <si>
    <t>Cons.</t>
  </si>
  <si>
    <t>Rest.</t>
  </si>
  <si>
    <t>HU-01</t>
  </si>
  <si>
    <t xml:space="preserve">Como evaluador docente, necesito revisar el marco de definición, factibilidad y evidencias iniciales del proyecto, con la finalidad de validar el inicio formal de HarvesTam - Edu.</t>
  </si>
  <si>
    <t xml:space="preserve">Investigar y conocer acerca del cliente</t>
  </si>
  <si>
    <t xml:space="preserve">Antonia Lizana, Marcelo Valladares</t>
  </si>
  <si>
    <t>Cerrado</t>
  </si>
  <si>
    <t xml:space="preserve">HU-01 - T1</t>
  </si>
  <si>
    <t xml:space="preserve">Investigar y conocer acerca de la especie Prosopis Tamarugo</t>
  </si>
  <si>
    <t xml:space="preserve">HU-01 - T2</t>
  </si>
  <si>
    <t xml:space="preserve">Elaboración de documentación del proyecto</t>
  </si>
  <si>
    <t xml:space="preserve">HU-01 - T3</t>
  </si>
  <si>
    <t xml:space="preserve">Establecer primeros lineamientos del proyecto</t>
  </si>
  <si>
    <t xml:space="preserve">HU-01 - T4</t>
  </si>
  <si>
    <t>HU-02</t>
  </si>
  <si>
    <t xml:space="preserve">Como equipo de desarrollo, necesito configurar el repositorio de control de versiones y los canales de gestión ágil, con la finalidad de asegurar la trazabilidad y colaboración del proyecto.</t>
  </si>
  <si>
    <t xml:space="preserve">Configuración de herramientas de coordinación</t>
  </si>
  <si>
    <t xml:space="preserve">HU-02 - T1</t>
  </si>
  <si>
    <t xml:space="preserve">Configuración de repositorios de evidencias</t>
  </si>
  <si>
    <t xml:space="preserve">HU-02 - T2</t>
  </si>
  <si>
    <t xml:space="preserve">Sprint Backlog 1</t>
  </si>
  <si>
    <t xml:space="preserve">01 SEP</t>
  </si>
  <si>
    <t xml:space="preserve">Día 21</t>
  </si>
  <si>
    <t xml:space="preserve">Día 22</t>
  </si>
  <si>
    <t xml:space="preserve">Día 23</t>
  </si>
  <si>
    <t xml:space="preserve">Día 24</t>
  </si>
  <si>
    <t xml:space="preserve">Día 25</t>
  </si>
  <si>
    <t xml:space="preserve">Día 26</t>
  </si>
  <si>
    <t xml:space="preserve">Día 27</t>
  </si>
  <si>
    <t xml:space="preserve">Día 28</t>
  </si>
  <si>
    <t xml:space="preserve">Día 29</t>
  </si>
  <si>
    <t>HU-12</t>
  </si>
  <si>
    <t xml:space="preserve">Como equipo de desarrollo, necesito estructurar el Documento de Arquitectura de Software (DAS) con diagramas de alto y bajo nivel, con la finalidad de definir la interacción técnica entre la interfaz web, el backend, la API de inferencia y el modelo serializado previo a su construcción.</t>
  </si>
  <si>
    <t xml:space="preserve">Discutir estructura y arquitectura del sistema</t>
  </si>
  <si>
    <t xml:space="preserve">HU-12 - T1</t>
  </si>
  <si>
    <t xml:space="preserve">Elaboración de diagramas de distintos tipos</t>
  </si>
  <si>
    <t xml:space="preserve">Antonia Lizana</t>
  </si>
  <si>
    <t xml:space="preserve">HU-12 - T2</t>
  </si>
  <si>
    <t xml:space="preserve">Elaboración del documento DAS</t>
  </si>
  <si>
    <t xml:space="preserve">Marcelo Valladares</t>
  </si>
  <si>
    <t xml:space="preserve">HU-12 - T3</t>
  </si>
  <si>
    <t>HU-03</t>
  </si>
  <si>
    <t xml:space="preserve">Como equipo de desarrollo, necesito realizar un análisis exploratorio y un diagnóstico exhaustivo de calidad sobre los datos históricos del Tamarugo, con la finalidad de identificar inconsistencias, anomalías numéricas, distribuciones y variables clave asociadas a la carga frutal.</t>
  </si>
  <si>
    <t xml:space="preserve">Configuración de entorno de desarrollo</t>
  </si>
  <si>
    <t xml:space="preserve">HU-03 - T1</t>
  </si>
  <si>
    <t xml:space="preserve">Carga e inspección preliminar del dataset/datasets histórico </t>
  </si>
  <si>
    <t xml:space="preserve">Se necesita info</t>
  </si>
  <si>
    <t xml:space="preserve">HU-03 - T2</t>
  </si>
  <si>
    <t xml:space="preserve">Detección y perfilado de valores nulos y registros incompletos</t>
  </si>
  <si>
    <t>Nuevo</t>
  </si>
  <si>
    <t xml:space="preserve">HU-03 - T3</t>
  </si>
  <si>
    <t xml:space="preserve">Análisis estadístico univariado, bivariado y distribuciones</t>
  </si>
  <si>
    <t xml:space="preserve">HU-03 - T4</t>
  </si>
  <si>
    <t xml:space="preserve">Análisis de matriz de correlación</t>
  </si>
  <si>
    <t xml:space="preserve">HU-03 - T5</t>
  </si>
  <si>
    <t xml:space="preserve">Identificación visual y analítica de valores atípicos</t>
  </si>
  <si>
    <t xml:space="preserve">HU-03 - T6</t>
  </si>
  <si>
    <t xml:space="preserve">Redacción de síntesis y conclusiones del análisis exploratorio</t>
  </si>
  <si>
    <t xml:space="preserve">HU-03 - T7</t>
  </si>
  <si>
    <t>HU-04</t>
  </si>
  <si>
    <t xml:space="preserve">Como equipo de desarrollo, necesito construir un pipeline de preprocesamiento para tratar nulos, depurar atípicos, normalizar variables, con la finalidad de generar un conjunto de datos limpio, consistente y apto para el entrenamiento de los algoritmos.</t>
  </si>
  <si>
    <t xml:space="preserve">Implementación de ingeniería de características</t>
  </si>
  <si>
    <t xml:space="preserve">HU-04 - T1</t>
  </si>
  <si>
    <t xml:space="preserve">Implementación de estrategias para valores faltantes</t>
  </si>
  <si>
    <t xml:space="preserve">HU-04 - T2</t>
  </si>
  <si>
    <t xml:space="preserve">Tratamiento y depuración de valores atípicos</t>
  </si>
  <si>
    <t xml:space="preserve">HU-04 - T3</t>
  </si>
  <si>
    <t xml:space="preserve">Transformación y codificación de variables</t>
  </si>
  <si>
    <t xml:space="preserve">HU-04 - T4</t>
  </si>
  <si>
    <t xml:space="preserve">Exportación y versionado del dataset limpio</t>
  </si>
  <si>
    <t xml:space="preserve">HU-04 - T5</t>
  </si>
  <si>
    <t xml:space="preserve">Partición del conjunto de datos</t>
  </si>
  <si>
    <t xml:space="preserve">HU-04 - T6</t>
  </si>
  <si>
    <t xml:space="preserve">Escalado y normalización de variables</t>
  </si>
  <si>
    <t xml:space="preserve">HU-04 - T7</t>
  </si>
  <si>
    <t xml:space="preserve">Sprint Backlog 2</t>
  </si>
  <si>
    <t>HU-05</t>
  </si>
  <si>
    <t xml:space="preserve">Como equipo de desarrollo, necesito entrenar de forma comparativa diversos algoritmos de aprendizaje automático con el conjunto de datos limpio, con la finalidad de identificar qué modelo presenta la mejor capacidad de ajuste inicial para estimar la carga frutal del Tamarugo.</t>
  </si>
  <si>
    <t xml:space="preserve">Determinar que algoritmos se usarán</t>
  </si>
  <si>
    <t xml:space="preserve">HU-05 - T1</t>
  </si>
  <si>
    <t xml:space="preserve">Entrenar algoritmos con el conjunto de entrenamiento</t>
  </si>
  <si>
    <t xml:space="preserve">HU-05 T2</t>
  </si>
  <si>
    <t xml:space="preserve">Estudiar algoritmos probabilisticos para machine learning</t>
  </si>
  <si>
    <t xml:space="preserve">HU-05 -T3</t>
  </si>
  <si>
    <t xml:space="preserve">Ajuste de hiperparámetros</t>
  </si>
  <si>
    <t>HU-05-T4</t>
  </si>
  <si>
    <t>HU-06</t>
  </si>
  <si>
    <t xml:space="preserve">Como equipo de desarrollo, necesito calcular y comparar las métricas de rendimiento sobre el conjunto de prueba independiente, con la finalidad de fundamentar con rigor matemático la elección del algoritmo final que se integrará en producción.</t>
  </si>
  <si>
    <t xml:space="preserve">Inferencia y predicción sobre el conjunto de prueba independiente</t>
  </si>
  <si>
    <t xml:space="preserve">HU-06 T1</t>
  </si>
  <si>
    <t xml:space="preserve">Elaboración de matriz comparativa y reporte de selección final</t>
  </si>
  <si>
    <t xml:space="preserve">HU-06 T2</t>
  </si>
  <si>
    <t xml:space="preserve">Cálculo de métricas cuantitativas de evaluación</t>
  </si>
  <si>
    <t xml:space="preserve">HU-06 T3</t>
  </si>
  <si>
    <t>HU-07</t>
  </si>
  <si>
    <t xml:space="preserve">Como equipo de desarrollo, necesito empaquetar y serializar el modelo seleccionado junto a sus transformaciones de preprocesamiento en un archivo persistente, con la finalidad de facilitar su posterior consumo y carga rápida dentro del backend de la plataforma web.</t>
  </si>
  <si>
    <t xml:space="preserve">Serialización del artefacto predictivo y pipeline asociado</t>
  </si>
  <si>
    <t xml:space="preserve">HU-07 T1</t>
  </si>
  <si>
    <t xml:space="preserve">Subir modelo a evidencias del proyecto</t>
  </si>
  <si>
    <t xml:space="preserve">HU-07 T2</t>
  </si>
  <si>
    <t>HU-13</t>
  </si>
  <si>
    <t xml:space="preserve">Como evaluador docente, necesito revisar el informe de avance intermedio y los artefactos parciales de datos y experimentación, con la finalidad de certificar la continuidad operativa, el ritmo de los Sprints y la viabilidad técnica antes del cierre de la Fase 2.</t>
  </si>
  <si>
    <t xml:space="preserve">Consolidación del informe técnico de avance de Fase 2</t>
  </si>
  <si>
    <t xml:space="preserve">HU-13 T1</t>
  </si>
  <si>
    <t xml:space="preserve">Actualización de evidencias y tableros de gestión</t>
  </si>
  <si>
    <t xml:space="preserve">HU-13 T2</t>
  </si>
  <si>
    <t xml:space="preserve">Sprint Backlog 3</t>
  </si>
  <si>
    <t xml:space="preserve">4 NOV</t>
  </si>
  <si>
    <t>HU-08</t>
  </si>
  <si>
    <t xml:space="preserve">Como usuario interesado, necesito una interfaz web clara con un formulario interactivo para el ingreso de variables del Tamarugo, con la finalidad de registrar los parámetros de campo de manera intuitiva y visualmente ordenada desde cualquier navegador.</t>
  </si>
  <si>
    <t xml:space="preserve">Diseñar la interfaz web</t>
  </si>
  <si>
    <t xml:space="preserve">HU-08 T1</t>
  </si>
  <si>
    <t xml:space="preserve">Desarrollar el frontend</t>
  </si>
  <si>
    <t xml:space="preserve">HU-08 T2</t>
  </si>
  <si>
    <t>HU-09</t>
  </si>
  <si>
    <t xml:space="preserve">Como equipo de desarrollo, necesito implementar el backend y los endpoints de conexión que reciban los datos del formulario, carguen el modelo serializado y devuelvan la predicción, con la finalidad de habilitar la inferencia matemática automatizada entre la interfaz de usuario y el artefacto de Machine Learning.</t>
  </si>
  <si>
    <t xml:space="preserve">Configurar el servidor backend y carga del modelo</t>
  </si>
  <si>
    <t xml:space="preserve">HU-09 T1</t>
  </si>
  <si>
    <t xml:space="preserve">Crear el endpoint de predicción</t>
  </si>
  <si>
    <t xml:space="preserve">HU-09 T2</t>
  </si>
  <si>
    <t xml:space="preserve">Validar la integración entre frontend y backend</t>
  </si>
  <si>
    <t xml:space="preserve">HU-09 T3</t>
  </si>
  <si>
    <t>HU-10</t>
  </si>
  <si>
    <t xml:space="preserve">Como equipo de desarrollo, necesitamos empaquetar y orquestar los servicios de frontend y backend mediante contenedores Docker, con la finalidad de garantizar un despliegue reproducible, aislado y libre de conflictos de dependencias para su evaluación y puesta en marcha.</t>
  </si>
  <si>
    <t xml:space="preserve">Crear y configurar archivos para docker</t>
  </si>
  <si>
    <t xml:space="preserve">HU-10 T1</t>
  </si>
  <si>
    <t xml:space="preserve">Construir imagen</t>
  </si>
  <si>
    <t xml:space="preserve">HU-10 T2</t>
  </si>
  <si>
    <t>HU-11</t>
  </si>
  <si>
    <t xml:space="preserve">Como equipo de desarrollo, necesito realizar pruebas de integración extremo a extremo sobre el flujo completo de consulta web, con la finalidad de certificar la robustez del sistema, la coherencia de los resultados calculados y la usabilidad antes de la entrega final.</t>
  </si>
  <si>
    <t xml:space="preserve">Diseñar casos de prueba del sistema</t>
  </si>
  <si>
    <t xml:space="preserve">HU-11 T1</t>
  </si>
  <si>
    <t xml:space="preserve">Implementación de casos de prueba</t>
  </si>
  <si>
    <t xml:space="preserve">HU-11 T2</t>
  </si>
  <si>
    <t xml:space="preserve">Registro de defectos</t>
  </si>
  <si>
    <t xml:space="preserve">HU-11 T3</t>
  </si>
  <si>
    <t xml:space="preserve">Implementar manejo de errores y validaciones límite</t>
  </si>
  <si>
    <t xml:space="preserve">HU-11 T4</t>
  </si>
  <si>
    <t xml:space="preserve">Elaboracion de documentación de pruebas</t>
  </si>
  <si>
    <t xml:space="preserve">HU-11 T5</t>
  </si>
  <si>
    <t>HU-15</t>
  </si>
  <si>
    <t xml:space="preserve">Como usuario interesado, necesito registrar una cuenta mediante correo electrónico y contraseña en el formulario web, con la finalidad de disponer de credenciales personales para acceder a las funciones del sistema.</t>
  </si>
  <si>
    <t xml:space="preserve">Configurar proyecto en Supabase</t>
  </si>
  <si>
    <t xml:space="preserve">HU-15 T1</t>
  </si>
  <si>
    <t xml:space="preserve">Diseñar y maquetar el formulario de registro</t>
  </si>
  <si>
    <t xml:space="preserve">HU-15 T2</t>
  </si>
  <si>
    <t xml:space="preserve">Implementar validaciones en cliente con TypeScript</t>
  </si>
  <si>
    <t xml:space="preserve">HU-15 T3</t>
  </si>
  <si>
    <t xml:space="preserve">Integrar la llamada al SDK</t>
  </si>
  <si>
    <t xml:space="preserve">HU-15 T4</t>
  </si>
  <si>
    <t>HU-16</t>
  </si>
  <si>
    <t xml:space="preserve">Como usuario registrado, necesito iniciar sesión con mis credenciales y poder cerrar mi sesión cuando lo decida, con la finalidad de acceder a la plataforma de forma identificada y resguardar mi sesión activa.</t>
  </si>
  <si>
    <t xml:space="preserve">Diseñar y maquetar la vista y formulario de Login</t>
  </si>
  <si>
    <t xml:space="preserve">HU-16 T1</t>
  </si>
  <si>
    <t xml:space="preserve">Implementar la función de autenticación</t>
  </si>
  <si>
    <t xml:space="preserve">HU-16 T2</t>
  </si>
  <si>
    <t xml:space="preserve">Diseñar el botón y flujo de Logout</t>
  </si>
  <si>
    <t xml:space="preserve">HU-16 T3</t>
  </si>
  <si>
    <t xml:space="preserve">Configurar mensajes de error genéricos y amigables</t>
  </si>
  <si>
    <t xml:space="preserve">HU-16 T4</t>
  </si>
  <si>
    <t>HU-17</t>
  </si>
  <si>
    <t xml:space="preserve">Como sistema, quiero restringir la entrada a módulos de consulta y dashboard mediante el control de roles, con la finalidad de garantizar que solo usuarios autenticados operen la herramienta y que las métricas globales queden reservadas para el administrador.</t>
  </si>
  <si>
    <t xml:space="preserve">Crear el campo de rol</t>
  </si>
  <si>
    <t xml:space="preserve">HU-17 T1</t>
  </si>
  <si>
    <t xml:space="preserve">Implementar middleware o guardián de rutas</t>
  </si>
  <si>
    <t xml:space="preserve">HU-17 T2</t>
  </si>
  <si>
    <t xml:space="preserve">Implementar la protección condicional de la ruta</t>
  </si>
  <si>
    <t xml:space="preserve">HU-17 T3</t>
  </si>
  <si>
    <t xml:space="preserve">Configurar middleware de autenticación en FastAPI</t>
  </si>
  <si>
    <t xml:space="preserve">HU-17 T4</t>
  </si>
  <si>
    <t>HU-18</t>
  </si>
  <si>
    <t xml:space="preserve">Como administrador del sistema, quiero visualizar un dashboard interactivo con indicadores consolidados de uso, con la finalidad de conocer el volumen de actividad general, el total de usuarios y las tendencias predictivas registradas en la plataforma.</t>
  </si>
  <si>
    <t xml:space="preserve">Diseñar las consultas SQL o vistas en Supabase para obtener las métricas agregadas globales</t>
  </si>
  <si>
    <t xml:space="preserve">HU-18 T1</t>
  </si>
  <si>
    <t xml:space="preserve">Diseñar y estructurar el layout del panel de administración</t>
  </si>
  <si>
    <t xml:space="preserve">HU-18 T2</t>
  </si>
  <si>
    <t xml:space="preserve">Integrar una librería de gráficos ligera</t>
  </si>
  <si>
    <t xml:space="preserve">HU-18 T3</t>
  </si>
  <si>
    <t xml:space="preserve">Implementar la tabla de auditoría global</t>
  </si>
  <si>
    <t xml:space="preserve">HU-18 T4</t>
  </si>
  <si>
    <t xml:space="preserve">Diseñar el estado visual vacío</t>
  </si>
  <si>
    <t xml:space="preserve">HU-18 T5</t>
  </si>
  <si>
    <t>HU-19</t>
  </si>
  <si>
    <t xml:space="preserve">Como usuario autenticado, necesito consultar el historial personal de mis estimaciones de carga frutal, con la finalidad de llevar un registro trazable de las evaluaciones que he realizado en mis visitas a terreno.</t>
  </si>
  <si>
    <t xml:space="preserve">Modificar la rutina de guardado de predicciones</t>
  </si>
  <si>
    <t xml:space="preserve">HU-19 T1</t>
  </si>
  <si>
    <t xml:space="preserve">Configurar políticas de seguridad a nivel de fila</t>
  </si>
  <si>
    <t xml:space="preserve">HU-19 T2</t>
  </si>
  <si>
    <t xml:space="preserve">Diseñar la vista "Mis Estimaciones"</t>
  </si>
  <si>
    <t xml:space="preserve">HU-19 T3</t>
  </si>
  <si>
    <t xml:space="preserve">Implementar el consumo de datos filtrados por usuario</t>
  </si>
  <si>
    <t xml:space="preserve">HU-19 T4</t>
  </si>
  <si>
    <t>HU-14</t>
  </si>
  <si>
    <t xml:space="preserve">Como evaluador docente, necesito examinar la solución integral terminada, el informe final consolidado y el código fuente documentado, con la finalidad de calificar el cumplimiento de las competencias del perfil de egreso y dar por aprobada la Fase 2 del proyecto de titulación.</t>
  </si>
  <si>
    <t xml:space="preserve">Redactar el informe final consolidado del proyecto</t>
  </si>
  <si>
    <t xml:space="preserve">HU-14 T1</t>
  </si>
  <si>
    <t xml:space="preserve">Consolidar el repositorio final y evidencias</t>
  </si>
  <si>
    <t xml:space="preserve">HU-14 T2</t>
  </si>
  <si>
    <t xml:space="preserve">Lista de tareas de la iteración (Sprint Backlog): Instructivo</t>
  </si>
  <si>
    <t xml:space="preserve">Elaborado por: pmoinformatica.com</t>
  </si>
  <si>
    <t>Columna</t>
  </si>
  <si>
    <t>Instrucciones</t>
  </si>
  <si>
    <t xml:space="preserve">Código que hace referencia al elemento de la pila de producto (Product Backlog) al cual la tarea de la iteración hace referencia.</t>
  </si>
  <si>
    <t xml:space="preserve">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</si>
  <si>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 xml:space="preserve">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</si>
  <si>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</si>
  <si>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 xml:space="preserve">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</si>
  <si>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 xml:space="preserve">Horas que han sido estimadas por el equipo Scrum que serán necesarias para ejecutar la tarea. La asignación de estimados se realiza durante la reunión de planificación de la iteración (Sprint Planning Meeting).</t>
  </si>
  <si>
    <t xml:space="preserve">Día 1 …. Día n</t>
  </si>
  <si>
    <t xml:space="preserve">Una vez comienza a ejecutarse la iteración, se utilizan las columnas para llevar un registro de las horas que se han consumido en cada tarea y cuantas horas restan para completarla.</t>
  </si>
  <si>
    <t xml:space="preserve">Horas consumidas en la tarea en el día especificado.</t>
  </si>
  <si>
    <t xml:space="preserve">Horas que restan luego de registrarse el consumo diario. Se calcula tomando las horas que restaban el día anterior y se resta las horas consumidas en el día. Si se trata del primer día, se restan las horas del día 1 al estimado de horas totales.</t>
  </si>
  <si>
    <t xml:space="preserve">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</si>
</sst>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9">
    <font>
      <sz val="11.000000"/>
      <color theme="1"/>
      <name val="Arial"/>
      <scheme val="minor"/>
    </font>
    <font>
      <sz val="11.000000"/>
      <color theme="1"/>
      <name val="Calibri"/>
    </font>
    <font>
      <b/>
      <sz val="22.000000"/>
      <color theme="1"/>
      <name val="Calibri"/>
    </font>
    <font>
      <b/>
      <sz val="16.000000"/>
      <color rgb="FF1F497D"/>
      <name val="Calibri"/>
    </font>
    <font>
      <sz val="11.000000"/>
      <color theme="0"/>
      <name val="Calibri"/>
    </font>
    <font/>
    <font>
      <sz val="11.000000"/>
      <color indexed="65"/>
      <name val="Calibri"/>
    </font>
    <font>
      <color theme="1"/>
      <name val="Arial"/>
      <scheme val="minor"/>
    </font>
    <font>
      <color theme="1"/>
      <name val="Calibri"/>
    </font>
  </fonts>
  <fills count="8">
    <fill>
      <patternFill patternType="none"/>
    </fill>
    <fill>
      <patternFill patternType="gray125"/>
    </fill>
    <fill>
      <patternFill patternType="solid">
        <fgColor theme="0"/>
        <bgColor theme="0"/>
      </patternFill>
    </fill>
    <fill>
      <patternFill patternType="solid">
        <fgColor rgb="FFD9EAD3"/>
        <bgColor rgb="FFD9EAD3"/>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theme="0" tint="0"/>
        <bgColor theme="0" tint="0"/>
      </patternFill>
    </fill>
  </fills>
  <borders count="11">
    <border>
      <left style="none"/>
      <right style="none"/>
      <top style="none"/>
      <bottom style="none"/>
      <diagonal style="none"/>
    </border>
    <border>
      <left style="thin">
        <color rgb="FF38761D"/>
      </left>
      <right style="thin">
        <color rgb="FF38761D"/>
      </right>
      <top style="thin">
        <color rgb="FF38761D"/>
      </top>
      <bottom style="thin">
        <color rgb="FF38761D"/>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none"/>
      <top style="thin">
        <color indexed="64"/>
      </top>
      <bottom style="thin">
        <color indexed="64"/>
      </bottom>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none"/>
      <bottom style="thin">
        <color indexed="64"/>
      </bottom>
      <diagonal style="none"/>
    </border>
    <border>
      <left style="thin">
        <color indexed="64"/>
      </left>
      <right style="thin">
        <color indexed="64"/>
      </right>
      <top style="thin">
        <color indexed="64"/>
      </top>
      <bottom style="none"/>
      <diagonal style="none"/>
    </border>
    <border>
      <left style="thin">
        <color indexed="64"/>
      </left>
      <right style="thin">
        <color indexed="64"/>
      </right>
      <top style="none"/>
      <bottom style="none"/>
      <diagonal style="none"/>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fontId="0" fillId="0" borderId="0" numFmtId="0" applyNumberFormat="1" applyFont="1" applyFill="1" applyBorder="1"/>
  </cellStyleXfs>
  <cellXfs count="43">
    <xf fontId="0" fillId="0" borderId="0" numFmtId="0" xfId="0" applyAlignment="1">
      <alignment readingOrder="0"/>
    </xf>
    <xf fontId="1" fillId="2" borderId="0" numFmtId="0" xfId="0" applyFont="1" applyFill="1"/>
    <xf fontId="2" fillId="2" borderId="0" numFmtId="0" xfId="0" applyFont="1" applyFill="1"/>
    <xf fontId="2" fillId="2" borderId="0" numFmtId="0" xfId="0" applyFont="1" applyFill="1" applyAlignment="1">
      <alignment readingOrder="0"/>
    </xf>
    <xf fontId="3" fillId="2" borderId="0" numFmtId="0" xfId="0" applyFont="1" applyFill="1" applyAlignment="1">
      <alignment readingOrder="0"/>
    </xf>
    <xf fontId="1" fillId="3" borderId="1" numFmtId="49" xfId="0" applyNumberFormat="1" applyFont="1" applyFill="1" applyBorder="1" applyAlignment="1">
      <alignment horizontal="center" readingOrder="0" vertical="center"/>
    </xf>
    <xf fontId="4" fillId="4" borderId="2" numFmtId="0" xfId="0" applyFont="1" applyFill="1" applyBorder="1" applyAlignment="1">
      <alignment horizontal="center" vertical="center" wrapText="1"/>
    </xf>
    <xf fontId="5" fillId="0" borderId="3" numFmtId="0" xfId="0" applyFont="1" applyBorder="1"/>
    <xf fontId="4" fillId="4" borderId="4" numFmtId="0" xfId="0" applyFont="1" applyFill="1" applyBorder="1" applyAlignment="1">
      <alignment horizontal="center" vertical="center" wrapText="1"/>
    </xf>
    <xf fontId="4" fillId="4" borderId="5" numFmtId="0" xfId="0" applyFont="1" applyFill="1" applyBorder="1" applyAlignment="1">
      <alignment horizontal="center" vertical="center" wrapText="1"/>
    </xf>
    <xf fontId="6" fillId="4" borderId="6" numFmtId="0" xfId="0" applyFont="1" applyFill="1" applyBorder="1" applyAlignment="1">
      <alignment horizontal="center" readingOrder="0" vertical="center" wrapText="1"/>
    </xf>
    <xf fontId="4" fillId="4" borderId="6" numFmtId="0" xfId="0" applyFont="1" applyFill="1" applyBorder="1" applyAlignment="1">
      <alignment horizontal="center" vertical="center" wrapText="1"/>
    </xf>
    <xf fontId="1" fillId="2" borderId="7" numFmtId="0" xfId="0" applyFont="1" applyFill="1" applyBorder="1" applyAlignment="1">
      <alignment horizontal="center" readingOrder="0" vertical="center" wrapText="1"/>
    </xf>
    <xf fontId="1" fillId="2" borderId="7" numFmtId="0" xfId="0" applyFont="1" applyFill="1" applyBorder="1" applyAlignment="1">
      <alignment horizontal="left" readingOrder="0" vertical="center" wrapText="1"/>
    </xf>
    <xf fontId="1" fillId="2" borderId="5" numFmtId="0" xfId="0" applyFont="1" applyFill="1" applyBorder="1" applyAlignment="1">
      <alignment horizontal="left" readingOrder="0" vertical="center" wrapText="1"/>
    </xf>
    <xf fontId="1" fillId="2" borderId="5" numFmtId="0" xfId="0" applyFont="1" applyFill="1" applyBorder="1" applyAlignment="1">
      <alignment horizontal="center" readingOrder="0" vertical="center" wrapText="1"/>
    </xf>
    <xf fontId="1" fillId="2" borderId="5" numFmtId="0" xfId="0" applyFont="1" applyFill="1" applyBorder="1" applyAlignment="1">
      <alignment horizontal="center" vertical="center" wrapText="1"/>
    </xf>
    <xf fontId="1" fillId="5" borderId="5" numFmtId="0" xfId="0" applyFont="1" applyFill="1" applyBorder="1" applyAlignment="1">
      <alignment horizontal="center" vertical="center" wrapText="1"/>
    </xf>
    <xf fontId="1" fillId="6" borderId="5" numFmtId="0" xfId="0" applyFont="1" applyFill="1" applyBorder="1" applyAlignment="1">
      <alignment horizontal="center" vertical="center" wrapText="1"/>
    </xf>
    <xf fontId="5" fillId="0" borderId="8" numFmtId="0" xfId="0" applyFont="1" applyBorder="1"/>
    <xf fontId="1" fillId="5" borderId="5" numFmtId="0" xfId="0" applyFont="1" applyFill="1" applyBorder="1" applyAlignment="1">
      <alignment horizontal="center" readingOrder="0" vertical="center" wrapText="1"/>
    </xf>
    <xf fontId="5" fillId="0" borderId="6" numFmtId="0" xfId="0" applyFont="1" applyBorder="1"/>
    <xf fontId="1" fillId="2" borderId="0" numFmtId="0" xfId="0" applyFont="1" applyFill="1" applyAlignment="1">
      <alignment readingOrder="0"/>
    </xf>
    <xf fontId="5" fillId="0" borderId="0" numFmtId="0" xfId="0" applyFont="1"/>
    <xf fontId="1" fillId="3" borderId="1" numFmtId="0" xfId="0" applyFont="1" applyFill="1" applyBorder="1" applyAlignment="1">
      <alignment horizontal="center" readingOrder="0"/>
    </xf>
    <xf fontId="6" fillId="4" borderId="4" numFmtId="0" xfId="0" applyFont="1" applyFill="1" applyBorder="1" applyAlignment="1">
      <alignment horizontal="center" readingOrder="0" vertical="center" wrapText="1"/>
    </xf>
    <xf fontId="1" fillId="0" borderId="5" numFmtId="0" xfId="0" applyFont="1" applyBorder="1" applyAlignment="1">
      <alignment readingOrder="0" vertical="center" wrapText="1"/>
    </xf>
    <xf fontId="1" fillId="7" borderId="0" numFmtId="0" xfId="0" applyFont="1" applyFill="1" applyAlignment="1">
      <alignment horizontal="center" readingOrder="0" vertical="center"/>
    </xf>
    <xf fontId="1" fillId="3" borderId="1" numFmtId="16" xfId="0" applyNumberFormat="1" applyFont="1" applyFill="1" applyBorder="1" applyAlignment="1">
      <alignment horizontal="center" readingOrder="0" vertical="center"/>
    </xf>
    <xf fontId="1" fillId="2" borderId="9" numFmtId="0" xfId="0" applyFont="1" applyFill="1" applyBorder="1" applyAlignment="1">
      <alignment horizontal="center" vertical="center" wrapText="1"/>
    </xf>
    <xf fontId="1" fillId="2" borderId="10" numFmtId="0" xfId="0" applyFont="1" applyFill="1" applyBorder="1" applyAlignment="1">
      <alignment horizontal="center" vertical="center" wrapText="1"/>
    </xf>
    <xf fontId="1" fillId="2" borderId="0" numFmtId="0" xfId="0" applyFont="1" applyFill="1" applyAlignment="1">
      <alignment horizontal="center" vertical="center"/>
    </xf>
    <xf fontId="2" fillId="2" borderId="0" numFmtId="0" xfId="0" applyFont="1" applyFill="1" applyAlignment="1">
      <alignment horizontal="center" vertical="center"/>
    </xf>
    <xf fontId="2" fillId="2" borderId="0" numFmtId="0" xfId="0" applyFont="1" applyFill="1" applyAlignment="1">
      <alignment horizontal="center" readingOrder="0" vertical="center"/>
    </xf>
    <xf fontId="3" fillId="2" borderId="0" numFmtId="0" xfId="0" applyFont="1" applyFill="1" applyAlignment="1">
      <alignment horizontal="center" readingOrder="0" vertical="center"/>
    </xf>
    <xf fontId="7" fillId="0" borderId="0" numFmtId="0" xfId="0" applyFont="1" applyAlignment="1">
      <alignment horizontal="center" vertical="center"/>
    </xf>
    <xf fontId="8" fillId="0" borderId="0" numFmtId="0" xfId="0" applyFont="1" applyAlignment="1">
      <alignment horizontal="center" readingOrder="0" vertical="center" wrapText="1"/>
    </xf>
    <xf fontId="8" fillId="0" borderId="7" numFmtId="0" xfId="0" applyFont="1" applyBorder="1" applyAlignment="1">
      <alignment horizontal="center" readingOrder="0" vertical="center" wrapText="1"/>
    </xf>
    <xf fontId="1" fillId="2" borderId="5" numFmtId="0" xfId="0" applyFont="1" applyFill="1" applyBorder="1" applyAlignment="1">
      <alignment horizontal="center" vertical="center"/>
    </xf>
    <xf fontId="8" fillId="0" borderId="5" numFmtId="0" xfId="0" applyFont="1" applyBorder="1" applyAlignment="1">
      <alignment horizontal="center" readingOrder="0" vertical="center" wrapText="1"/>
    </xf>
    <xf fontId="3" fillId="2" borderId="0" numFmtId="0" xfId="0" applyFont="1" applyFill="1"/>
    <xf fontId="4" fillId="4" borderId="5" numFmtId="0" xfId="0" applyFont="1" applyFill="1" applyBorder="1"/>
    <xf fontId="1" fillId="2" borderId="5" numFmtId="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6" ySplit="5" topLeftCell="G6" activePane="bottomRight" state="frozen"/>
      <selection activeCell="G6" activeCellId="0" sqref="G6"/>
    </sheetView>
  </sheetViews>
  <sheetFormatPr defaultColWidth="12.630000000000001" defaultRowHeight="15" customHeight="1"/>
  <cols>
    <col customWidth="1" min="1" max="1" width="1.25"/>
    <col customWidth="1" min="2" max="2" width="14.380000000000001"/>
    <col customWidth="1" min="3" max="3" width="29.75"/>
    <col customWidth="1" min="4" max="4" width="18.25"/>
    <col customWidth="1" min="5" max="5" width="21.25"/>
    <col customWidth="1" min="6" max="6" width="18.25"/>
    <col customWidth="1" min="7" max="8" width="13.5"/>
    <col customWidth="1" min="9" max="9" width="5.1299999999999999"/>
    <col customWidth="1" min="10" max="10" width="4.75"/>
    <col customWidth="1" min="11" max="11" width="2.3799999999999999"/>
    <col customWidth="1" min="12" max="12" width="5.1299999999999999"/>
    <col customWidth="1" min="13" max="13" width="4.75"/>
    <col customWidth="1" min="14" max="14" width="2.3799999999999999"/>
    <col customWidth="1" min="15" max="15" width="5.1299999999999999"/>
    <col customWidth="1" min="16" max="16" width="4.75"/>
    <col customWidth="1" min="17" max="17" width="2.3799999999999999"/>
    <col customWidth="1" min="18" max="18" width="5.1299999999999999"/>
    <col customWidth="1" min="19" max="19" width="4.75"/>
    <col customWidth="1" min="20" max="20" width="2.3799999999999999"/>
    <col customWidth="1" min="21" max="21" width="5.1299999999999999"/>
    <col customWidth="1" min="22" max="22" width="4.75"/>
    <col customWidth="1" min="23" max="23" width="2.3799999999999999"/>
    <col customWidth="1" min="24" max="24" width="5.1299999999999999"/>
    <col customWidth="1" min="25" max="25" width="4.75"/>
    <col customWidth="1" min="26" max="26" width="2.3799999999999999"/>
    <col customWidth="1" min="27" max="27" width="5.1299999999999999"/>
    <col customWidth="1" min="28" max="28" width="4.75"/>
    <col customWidth="1" min="29" max="29" width="2.3799999999999999"/>
    <col customWidth="1" min="30" max="30" width="5.1299999999999999"/>
    <col customWidth="1" min="31" max="31" width="4.75"/>
    <col customWidth="1" min="32" max="32" width="2.3799999999999999"/>
    <col customWidth="1" min="33" max="33" width="5.1299999999999999"/>
    <col customWidth="1" min="34" max="34" width="4.75"/>
    <col customWidth="1" min="35" max="35" width="1.75"/>
    <col customWidth="1" min="36" max="36" width="5.1299999999999999"/>
    <col customWidth="1" min="37" max="37" width="4.75"/>
    <col customWidth="1" min="38" max="38" width="1.25"/>
    <col customWidth="1" min="39" max="39" width="5.1299999999999999"/>
    <col customWidth="1" min="40" max="40" width="4.75"/>
    <col customWidth="1" min="41" max="41" width="2.3799999999999999"/>
    <col customWidth="1" min="42" max="42" width="5.1299999999999999"/>
    <col customWidth="1" min="43" max="43" width="4.75"/>
    <col customWidth="1" min="44" max="44" width="2.3799999999999999"/>
    <col customWidth="1" min="45" max="45" width="5.1299999999999999"/>
    <col customWidth="1" min="46" max="46" width="4.75"/>
    <col customWidth="1" min="47" max="47" width="2.3799999999999999"/>
    <col customWidth="1" min="48" max="48" width="5.1299999999999999"/>
    <col customWidth="1" min="49" max="49" width="4.75"/>
    <col customWidth="1" min="50" max="50" width="2.3799999999999999"/>
    <col customWidth="1" min="51" max="51" width="5.1299999999999999"/>
    <col customWidth="1" min="52" max="52" width="4.75"/>
    <col customWidth="1" min="53" max="53" width="2.3799999999999999"/>
    <col customWidth="1" min="54" max="54" width="5.1299999999999999"/>
    <col customWidth="1" min="55" max="55" width="4.75"/>
    <col customWidth="1" min="56" max="56" width="2.3799999999999999"/>
    <col customWidth="1" min="57" max="57" width="5.1299999999999999"/>
    <col customWidth="1" min="58" max="58" width="4.75"/>
    <col customWidth="1" min="59" max="59" width="2.3799999999999999"/>
    <col customWidth="1" min="60" max="60" width="5.1299999999999999"/>
    <col customWidth="1" min="61" max="61" width="4.75"/>
    <col customWidth="1" min="62" max="62" width="2.3799999999999999"/>
    <col customWidth="1" min="63" max="63" width="5.1299999999999999"/>
    <col customWidth="1" min="64" max="64" width="4.75"/>
    <col customWidth="1" min="65" max="65" width="2.3799999999999999"/>
    <col customWidth="1" min="66" max="66" width="5.1299999999999999"/>
    <col customWidth="1" min="67" max="67" width="4.75"/>
    <col customWidth="1" min="68" max="68" width="2.3799999999999999"/>
    <col customWidth="1" min="69" max="69" width="5.1299999999999999"/>
    <col customWidth="1" min="70" max="70" width="4.75"/>
  </cols>
  <sheetData>
    <row r="1" ht="27.75">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27.75">
      <c r="A2" s="1"/>
      <c r="B2" s="3"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ht="21">
      <c r="A3" s="1"/>
      <c r="B3" s="4" t="s">
        <v>1</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c r="A4" s="1"/>
      <c r="B4" s="1"/>
      <c r="C4" s="1"/>
      <c r="D4" s="1"/>
      <c r="E4" s="1"/>
      <c r="F4" s="1"/>
      <c r="G4" s="1"/>
      <c r="H4" s="5" t="s">
        <v>2</v>
      </c>
      <c r="I4" s="6" t="s">
        <v>3</v>
      </c>
      <c r="J4" s="7"/>
      <c r="K4" s="6"/>
      <c r="L4" s="8" t="s">
        <v>4</v>
      </c>
      <c r="M4" s="7"/>
      <c r="N4" s="6"/>
      <c r="O4" s="8" t="s">
        <v>5</v>
      </c>
      <c r="P4" s="7"/>
      <c r="Q4" s="6"/>
      <c r="R4" s="8" t="s">
        <v>6</v>
      </c>
      <c r="S4" s="7"/>
      <c r="T4" s="6"/>
      <c r="U4" s="8" t="s">
        <v>7</v>
      </c>
      <c r="V4" s="7"/>
      <c r="W4" s="6"/>
      <c r="X4" s="8" t="s">
        <v>8</v>
      </c>
      <c r="Y4" s="7"/>
      <c r="Z4" s="6"/>
      <c r="AA4" s="8" t="s">
        <v>9</v>
      </c>
      <c r="AB4" s="7"/>
      <c r="AC4" s="6"/>
      <c r="AD4" s="8" t="s">
        <v>10</v>
      </c>
      <c r="AE4" s="7"/>
      <c r="AF4" s="6"/>
      <c r="AG4" s="8" t="s">
        <v>11</v>
      </c>
      <c r="AH4" s="7"/>
      <c r="AI4" s="6"/>
      <c r="AJ4" s="8" t="s">
        <v>12</v>
      </c>
      <c r="AK4" s="7"/>
      <c r="AL4" s="6"/>
      <c r="AM4" s="8" t="s">
        <v>13</v>
      </c>
      <c r="AN4" s="7"/>
      <c r="AO4" s="6"/>
      <c r="AP4" s="8" t="s">
        <v>14</v>
      </c>
      <c r="AQ4" s="7"/>
      <c r="AR4" s="6"/>
      <c r="AS4" s="8" t="s">
        <v>15</v>
      </c>
      <c r="AT4" s="7"/>
      <c r="AU4" s="6"/>
      <c r="AV4" s="8" t="s">
        <v>16</v>
      </c>
      <c r="AW4" s="7"/>
      <c r="AX4" s="6"/>
      <c r="AY4" s="8" t="s">
        <v>17</v>
      </c>
      <c r="AZ4" s="7"/>
      <c r="BA4" s="6"/>
      <c r="BB4" s="8" t="s">
        <v>18</v>
      </c>
      <c r="BC4" s="7"/>
      <c r="BD4" s="6"/>
      <c r="BE4" s="8" t="s">
        <v>19</v>
      </c>
      <c r="BF4" s="7"/>
      <c r="BG4" s="6"/>
      <c r="BH4" s="8" t="s">
        <v>20</v>
      </c>
      <c r="BI4" s="7"/>
      <c r="BJ4" s="6"/>
      <c r="BK4" s="8" t="s">
        <v>21</v>
      </c>
      <c r="BL4" s="7"/>
      <c r="BM4" s="6"/>
      <c r="BN4" s="8" t="s">
        <v>22</v>
      </c>
      <c r="BO4" s="7"/>
      <c r="BP4" s="6"/>
      <c r="BQ4" s="8" t="s">
        <v>23</v>
      </c>
      <c r="BR4" s="7"/>
    </row>
    <row r="5" ht="42.75">
      <c r="A5" s="1"/>
      <c r="B5" s="9" t="s">
        <v>24</v>
      </c>
      <c r="C5" s="9" t="s">
        <v>25</v>
      </c>
      <c r="D5" s="9" t="s">
        <v>26</v>
      </c>
      <c r="E5" s="9" t="s">
        <v>27</v>
      </c>
      <c r="F5" s="9" t="s">
        <v>28</v>
      </c>
      <c r="G5" s="10" t="s">
        <v>29</v>
      </c>
      <c r="H5" s="11" t="s">
        <v>30</v>
      </c>
      <c r="I5" s="11" t="s">
        <v>31</v>
      </c>
      <c r="J5" s="11" t="s">
        <v>32</v>
      </c>
      <c r="K5" s="11"/>
      <c r="L5" s="11" t="s">
        <v>31</v>
      </c>
      <c r="M5" s="11" t="s">
        <v>32</v>
      </c>
      <c r="N5" s="11"/>
      <c r="O5" s="11" t="s">
        <v>31</v>
      </c>
      <c r="P5" s="11" t="s">
        <v>32</v>
      </c>
      <c r="Q5" s="11"/>
      <c r="R5" s="11" t="s">
        <v>31</v>
      </c>
      <c r="S5" s="11" t="s">
        <v>32</v>
      </c>
      <c r="T5" s="11"/>
      <c r="U5" s="11" t="s">
        <v>31</v>
      </c>
      <c r="V5" s="11" t="s">
        <v>32</v>
      </c>
      <c r="W5" s="11"/>
      <c r="X5" s="11" t="s">
        <v>31</v>
      </c>
      <c r="Y5" s="11" t="s">
        <v>32</v>
      </c>
      <c r="Z5" s="11"/>
      <c r="AA5" s="11" t="s">
        <v>31</v>
      </c>
      <c r="AB5" s="11" t="s">
        <v>32</v>
      </c>
      <c r="AC5" s="11"/>
      <c r="AD5" s="11" t="s">
        <v>31</v>
      </c>
      <c r="AE5" s="11" t="s">
        <v>32</v>
      </c>
      <c r="AF5" s="11"/>
      <c r="AG5" s="11" t="s">
        <v>31</v>
      </c>
      <c r="AH5" s="11" t="s">
        <v>32</v>
      </c>
      <c r="AI5" s="11"/>
      <c r="AJ5" s="11" t="s">
        <v>31</v>
      </c>
      <c r="AK5" s="11" t="s">
        <v>32</v>
      </c>
      <c r="AL5" s="11"/>
      <c r="AM5" s="11" t="s">
        <v>31</v>
      </c>
      <c r="AN5" s="11" t="s">
        <v>32</v>
      </c>
      <c r="AO5" s="11"/>
      <c r="AP5" s="11" t="s">
        <v>31</v>
      </c>
      <c r="AQ5" s="11" t="s">
        <v>32</v>
      </c>
      <c r="AR5" s="11"/>
      <c r="AS5" s="11" t="s">
        <v>31</v>
      </c>
      <c r="AT5" s="11" t="s">
        <v>32</v>
      </c>
      <c r="AU5" s="11"/>
      <c r="AV5" s="11" t="s">
        <v>31</v>
      </c>
      <c r="AW5" s="11" t="s">
        <v>32</v>
      </c>
      <c r="AX5" s="11"/>
      <c r="AY5" s="11" t="s">
        <v>31</v>
      </c>
      <c r="AZ5" s="11" t="s">
        <v>32</v>
      </c>
      <c r="BA5" s="11"/>
      <c r="BB5" s="11" t="s">
        <v>31</v>
      </c>
      <c r="BC5" s="11" t="s">
        <v>32</v>
      </c>
      <c r="BD5" s="11"/>
      <c r="BE5" s="11" t="s">
        <v>31</v>
      </c>
      <c r="BF5" s="11" t="s">
        <v>32</v>
      </c>
      <c r="BG5" s="11"/>
      <c r="BH5" s="11" t="s">
        <v>31</v>
      </c>
      <c r="BI5" s="11" t="s">
        <v>32</v>
      </c>
      <c r="BJ5" s="11"/>
      <c r="BK5" s="11" t="s">
        <v>31</v>
      </c>
      <c r="BL5" s="11" t="s">
        <v>32</v>
      </c>
      <c r="BM5" s="11"/>
      <c r="BN5" s="11" t="s">
        <v>31</v>
      </c>
      <c r="BO5" s="11" t="s">
        <v>32</v>
      </c>
      <c r="BP5" s="11"/>
      <c r="BQ5" s="11" t="s">
        <v>31</v>
      </c>
      <c r="BR5" s="11" t="s">
        <v>32</v>
      </c>
    </row>
    <row r="6" ht="42" customHeight="1">
      <c r="A6" s="1"/>
      <c r="B6" s="12" t="s">
        <v>33</v>
      </c>
      <c r="C6" s="13" t="s">
        <v>34</v>
      </c>
      <c r="D6" s="14" t="s">
        <v>35</v>
      </c>
      <c r="E6" s="15" t="s">
        <v>36</v>
      </c>
      <c r="F6" s="15" t="s">
        <v>37</v>
      </c>
      <c r="G6" s="15" t="s">
        <v>38</v>
      </c>
      <c r="H6" s="15">
        <v>4</v>
      </c>
      <c r="I6" s="15"/>
      <c r="J6" s="16">
        <f t="shared" ref="J6:J11" si="0">H6-I6</f>
        <v>4</v>
      </c>
      <c r="K6" s="17"/>
      <c r="L6" s="15"/>
      <c r="M6" s="16">
        <f t="shared" ref="M6:M11" si="1">J6-L6</f>
        <v>4</v>
      </c>
      <c r="N6" s="17"/>
      <c r="O6" s="15"/>
      <c r="P6" s="16">
        <f t="shared" ref="P6:P11" si="2">M6-O6</f>
        <v>4</v>
      </c>
      <c r="Q6" s="17"/>
      <c r="R6" s="16"/>
      <c r="S6" s="16">
        <f t="shared" ref="S6:S11" si="3">P6-R6</f>
        <v>4</v>
      </c>
      <c r="T6" s="17"/>
      <c r="U6" s="15">
        <v>2</v>
      </c>
      <c r="V6" s="16">
        <f t="shared" ref="V6:V11" si="4">S6-U6</f>
        <v>2</v>
      </c>
      <c r="W6" s="17"/>
      <c r="X6" s="15">
        <v>2</v>
      </c>
      <c r="Y6" s="16">
        <f t="shared" ref="Y6:Y11" si="5">V6-X6</f>
        <v>0</v>
      </c>
      <c r="Z6" s="17"/>
      <c r="AA6" s="16"/>
      <c r="AB6" s="16">
        <f t="shared" ref="AB6:AB11" si="6">Y6-AA6</f>
        <v>0</v>
      </c>
      <c r="AC6" s="17"/>
      <c r="AD6" s="16"/>
      <c r="AE6" s="16">
        <f t="shared" ref="AE6:AE11" si="7">AB6-AD6</f>
        <v>0</v>
      </c>
      <c r="AF6" s="17"/>
      <c r="AG6" s="16"/>
      <c r="AH6" s="16">
        <f t="shared" ref="AH6:AH11" si="8">AE6-AG6</f>
        <v>0</v>
      </c>
      <c r="AI6" s="17"/>
      <c r="AJ6" s="16"/>
      <c r="AK6" s="16">
        <f t="shared" ref="AK6:AK11" si="9">AH6-AJ6</f>
        <v>0</v>
      </c>
      <c r="AL6" s="17"/>
      <c r="AM6" s="16"/>
      <c r="AN6" s="16">
        <f t="shared" ref="AN6:AN11" si="10">AK6-AM6</f>
        <v>0</v>
      </c>
      <c r="AO6" s="17"/>
      <c r="AP6" s="16"/>
      <c r="AQ6" s="16">
        <f t="shared" ref="AQ6:AQ11" si="11">AN6-AP6</f>
        <v>0</v>
      </c>
      <c r="AR6" s="17"/>
      <c r="AS6" s="16"/>
      <c r="AT6" s="16">
        <f t="shared" ref="AT6:AT11" si="12">AQ6-AS6</f>
        <v>0</v>
      </c>
      <c r="AU6" s="17"/>
      <c r="AV6" s="16"/>
      <c r="AW6" s="16">
        <f t="shared" ref="AW6:AW11" si="13">AT6-AV6</f>
        <v>0</v>
      </c>
      <c r="AX6" s="17"/>
      <c r="AY6" s="16"/>
      <c r="AZ6" s="16">
        <f t="shared" ref="AZ6:AZ11" si="14">AW6-AY6</f>
        <v>0</v>
      </c>
      <c r="BA6" s="17"/>
      <c r="BB6" s="16"/>
      <c r="BC6" s="16">
        <f t="shared" ref="BC6:BC11" si="15">AZ6-BB6</f>
        <v>0</v>
      </c>
      <c r="BD6" s="17"/>
      <c r="BE6" s="16"/>
      <c r="BF6" s="16">
        <f t="shared" ref="BF6:BF11" si="16">BC6-BE6</f>
        <v>0</v>
      </c>
      <c r="BG6" s="17"/>
      <c r="BH6" s="16"/>
      <c r="BI6" s="16">
        <f t="shared" ref="BI6:BI11" si="17">BF6-BH6</f>
        <v>0</v>
      </c>
      <c r="BJ6" s="17"/>
      <c r="BK6" s="16"/>
      <c r="BL6" s="16">
        <f t="shared" ref="BL6:BL11" si="18">BI6-BK6</f>
        <v>0</v>
      </c>
      <c r="BM6" s="17"/>
      <c r="BN6" s="15"/>
      <c r="BO6" s="15">
        <v>0</v>
      </c>
      <c r="BP6" s="17"/>
      <c r="BQ6" s="18">
        <f t="shared" ref="BQ6:BQ11" si="19">I6+L6+O6+R6+U6+X6+AA6+AD6+AG6+AJ6+AM6+AP6+AS6+AV6+AY6+BB6+BE6+BH6+BK6+BN6</f>
        <v>4</v>
      </c>
      <c r="BR6" s="18">
        <f t="shared" ref="BR6:BR11" si="20">H6-BQ6</f>
        <v>0</v>
      </c>
    </row>
    <row r="7" ht="42.75">
      <c r="A7" s="1"/>
      <c r="B7" s="19"/>
      <c r="C7" s="19"/>
      <c r="D7" s="14" t="s">
        <v>39</v>
      </c>
      <c r="E7" s="15" t="s">
        <v>36</v>
      </c>
      <c r="F7" s="15" t="s">
        <v>37</v>
      </c>
      <c r="G7" s="15" t="s">
        <v>40</v>
      </c>
      <c r="H7" s="15">
        <v>6</v>
      </c>
      <c r="I7" s="16"/>
      <c r="J7" s="16">
        <f t="shared" si="0"/>
        <v>6</v>
      </c>
      <c r="K7" s="17"/>
      <c r="L7" s="15"/>
      <c r="M7" s="16">
        <f t="shared" si="1"/>
        <v>6</v>
      </c>
      <c r="N7" s="17"/>
      <c r="O7" s="16"/>
      <c r="P7" s="16">
        <f t="shared" si="2"/>
        <v>6</v>
      </c>
      <c r="Q7" s="17"/>
      <c r="R7" s="15"/>
      <c r="S7" s="16">
        <f t="shared" si="3"/>
        <v>6</v>
      </c>
      <c r="T7" s="17"/>
      <c r="U7" s="15"/>
      <c r="V7" s="16">
        <f t="shared" si="4"/>
        <v>6</v>
      </c>
      <c r="W7" s="17"/>
      <c r="X7" s="15">
        <v>2</v>
      </c>
      <c r="Y7" s="16">
        <f t="shared" si="5"/>
        <v>4</v>
      </c>
      <c r="Z7" s="17"/>
      <c r="AA7" s="15">
        <v>2</v>
      </c>
      <c r="AB7" s="16">
        <f t="shared" si="6"/>
        <v>2</v>
      </c>
      <c r="AC7" s="17"/>
      <c r="AD7" s="15">
        <v>2</v>
      </c>
      <c r="AE7" s="16">
        <f t="shared" si="7"/>
        <v>0</v>
      </c>
      <c r="AF7" s="17"/>
      <c r="AG7" s="15"/>
      <c r="AH7" s="16">
        <f t="shared" si="8"/>
        <v>0</v>
      </c>
      <c r="AI7" s="20"/>
      <c r="AJ7" s="16"/>
      <c r="AK7" s="16">
        <f t="shared" si="9"/>
        <v>0</v>
      </c>
      <c r="AL7" s="17"/>
      <c r="AM7" s="16"/>
      <c r="AN7" s="16">
        <f t="shared" si="10"/>
        <v>0</v>
      </c>
      <c r="AO7" s="17"/>
      <c r="AP7" s="16"/>
      <c r="AQ7" s="16">
        <f t="shared" si="11"/>
        <v>0</v>
      </c>
      <c r="AR7" s="17"/>
      <c r="AS7" s="16"/>
      <c r="AT7" s="16">
        <f t="shared" si="12"/>
        <v>0</v>
      </c>
      <c r="AU7" s="17"/>
      <c r="AV7" s="16"/>
      <c r="AW7" s="16">
        <f t="shared" si="13"/>
        <v>0</v>
      </c>
      <c r="AX7" s="17"/>
      <c r="AY7" s="16"/>
      <c r="AZ7" s="16">
        <f t="shared" si="14"/>
        <v>0</v>
      </c>
      <c r="BA7" s="17"/>
      <c r="BB7" s="16"/>
      <c r="BC7" s="16">
        <f t="shared" si="15"/>
        <v>0</v>
      </c>
      <c r="BD7" s="17"/>
      <c r="BE7" s="16"/>
      <c r="BF7" s="16">
        <f t="shared" si="16"/>
        <v>0</v>
      </c>
      <c r="BG7" s="17"/>
      <c r="BH7" s="16"/>
      <c r="BI7" s="16">
        <f t="shared" si="17"/>
        <v>0</v>
      </c>
      <c r="BJ7" s="17"/>
      <c r="BK7" s="16"/>
      <c r="BL7" s="16">
        <f t="shared" si="18"/>
        <v>0</v>
      </c>
      <c r="BM7" s="17"/>
      <c r="BN7" s="16"/>
      <c r="BO7" s="16">
        <f t="shared" ref="BO7:BO11" si="21">BL7-BN7</f>
        <v>0</v>
      </c>
      <c r="BP7" s="17"/>
      <c r="BQ7" s="18">
        <f t="shared" si="19"/>
        <v>6</v>
      </c>
      <c r="BR7" s="18">
        <f t="shared" si="20"/>
        <v>0</v>
      </c>
    </row>
    <row r="8" ht="42.75">
      <c r="A8" s="1"/>
      <c r="B8" s="19"/>
      <c r="C8" s="19"/>
      <c r="D8" s="14" t="s">
        <v>41</v>
      </c>
      <c r="E8" s="15" t="s">
        <v>36</v>
      </c>
      <c r="F8" s="15" t="s">
        <v>37</v>
      </c>
      <c r="G8" s="15" t="s">
        <v>42</v>
      </c>
      <c r="H8" s="15">
        <v>6</v>
      </c>
      <c r="I8" s="16"/>
      <c r="J8" s="16">
        <f t="shared" si="0"/>
        <v>6</v>
      </c>
      <c r="K8" s="17"/>
      <c r="L8" s="16"/>
      <c r="M8" s="16">
        <f t="shared" si="1"/>
        <v>6</v>
      </c>
      <c r="N8" s="17"/>
      <c r="O8" s="16"/>
      <c r="P8" s="16">
        <f t="shared" si="2"/>
        <v>6</v>
      </c>
      <c r="Q8" s="17"/>
      <c r="R8" s="16"/>
      <c r="S8" s="16">
        <f t="shared" si="3"/>
        <v>6</v>
      </c>
      <c r="T8" s="17"/>
      <c r="U8" s="16"/>
      <c r="V8" s="16">
        <f t="shared" si="4"/>
        <v>6</v>
      </c>
      <c r="W8" s="17"/>
      <c r="X8" s="16"/>
      <c r="Y8" s="16">
        <f t="shared" si="5"/>
        <v>6</v>
      </c>
      <c r="Z8" s="17"/>
      <c r="AA8" s="16"/>
      <c r="AB8" s="16">
        <f t="shared" si="6"/>
        <v>6</v>
      </c>
      <c r="AC8" s="17"/>
      <c r="AD8" s="15"/>
      <c r="AE8" s="16">
        <f t="shared" si="7"/>
        <v>6</v>
      </c>
      <c r="AF8" s="17"/>
      <c r="AG8" s="15"/>
      <c r="AH8" s="16">
        <f t="shared" si="8"/>
        <v>6</v>
      </c>
      <c r="AI8" s="17"/>
      <c r="AJ8" s="16"/>
      <c r="AK8" s="16">
        <f t="shared" si="9"/>
        <v>6</v>
      </c>
      <c r="AL8" s="17"/>
      <c r="AM8" s="16"/>
      <c r="AN8" s="16">
        <f t="shared" si="10"/>
        <v>6</v>
      </c>
      <c r="AO8" s="17"/>
      <c r="AP8" s="16"/>
      <c r="AQ8" s="16">
        <f t="shared" si="11"/>
        <v>6</v>
      </c>
      <c r="AR8" s="17"/>
      <c r="AS8" s="16"/>
      <c r="AT8" s="16">
        <f t="shared" si="12"/>
        <v>6</v>
      </c>
      <c r="AU8" s="17"/>
      <c r="AV8" s="16"/>
      <c r="AW8" s="16">
        <f t="shared" si="13"/>
        <v>6</v>
      </c>
      <c r="AX8" s="17"/>
      <c r="AY8" s="16"/>
      <c r="AZ8" s="16">
        <f t="shared" si="14"/>
        <v>6</v>
      </c>
      <c r="BA8" s="17"/>
      <c r="BB8" s="15">
        <v>1</v>
      </c>
      <c r="BC8" s="16">
        <f t="shared" si="15"/>
        <v>5</v>
      </c>
      <c r="BD8" s="17"/>
      <c r="BE8" s="15">
        <v>2</v>
      </c>
      <c r="BF8" s="16">
        <f t="shared" si="16"/>
        <v>3</v>
      </c>
      <c r="BG8" s="17"/>
      <c r="BH8" s="15">
        <v>3</v>
      </c>
      <c r="BI8" s="16">
        <f t="shared" si="17"/>
        <v>0</v>
      </c>
      <c r="BJ8" s="17"/>
      <c r="BK8" s="16"/>
      <c r="BL8" s="16">
        <f t="shared" si="18"/>
        <v>0</v>
      </c>
      <c r="BM8" s="17"/>
      <c r="BN8" s="16"/>
      <c r="BO8" s="16">
        <f t="shared" si="21"/>
        <v>0</v>
      </c>
      <c r="BP8" s="17"/>
      <c r="BQ8" s="18">
        <f t="shared" si="19"/>
        <v>6</v>
      </c>
      <c r="BR8" s="18">
        <f t="shared" si="20"/>
        <v>0</v>
      </c>
    </row>
    <row r="9" ht="42.75">
      <c r="A9" s="1"/>
      <c r="B9" s="21"/>
      <c r="C9" s="21"/>
      <c r="D9" s="14" t="s">
        <v>43</v>
      </c>
      <c r="E9" s="15" t="s">
        <v>36</v>
      </c>
      <c r="F9" s="15" t="s">
        <v>37</v>
      </c>
      <c r="G9" s="15" t="s">
        <v>44</v>
      </c>
      <c r="H9" s="15">
        <v>6</v>
      </c>
      <c r="I9" s="16"/>
      <c r="J9" s="16">
        <f t="shared" si="0"/>
        <v>6</v>
      </c>
      <c r="K9" s="17"/>
      <c r="L9" s="16"/>
      <c r="M9" s="16">
        <f t="shared" si="1"/>
        <v>6</v>
      </c>
      <c r="N9" s="17"/>
      <c r="O9" s="16"/>
      <c r="P9" s="16">
        <f t="shared" si="2"/>
        <v>6</v>
      </c>
      <c r="Q9" s="17"/>
      <c r="R9" s="16"/>
      <c r="S9" s="16">
        <f t="shared" si="3"/>
        <v>6</v>
      </c>
      <c r="T9" s="17"/>
      <c r="U9" s="16"/>
      <c r="V9" s="16">
        <f t="shared" si="4"/>
        <v>6</v>
      </c>
      <c r="W9" s="17"/>
      <c r="X9" s="15"/>
      <c r="Y9" s="16">
        <f t="shared" si="5"/>
        <v>6</v>
      </c>
      <c r="Z9" s="17"/>
      <c r="AA9" s="15"/>
      <c r="AB9" s="16">
        <f t="shared" si="6"/>
        <v>6</v>
      </c>
      <c r="AC9" s="17"/>
      <c r="AD9" s="15"/>
      <c r="AE9" s="16">
        <f t="shared" si="7"/>
        <v>6</v>
      </c>
      <c r="AF9" s="17"/>
      <c r="AG9" s="15"/>
      <c r="AH9" s="16">
        <f t="shared" si="8"/>
        <v>6</v>
      </c>
      <c r="AI9" s="17"/>
      <c r="AJ9" s="15">
        <v>2</v>
      </c>
      <c r="AK9" s="16">
        <f t="shared" si="9"/>
        <v>4</v>
      </c>
      <c r="AL9" s="17"/>
      <c r="AM9" s="15"/>
      <c r="AN9" s="16">
        <f t="shared" si="10"/>
        <v>4</v>
      </c>
      <c r="AO9" s="17"/>
      <c r="AP9" s="15">
        <v>3</v>
      </c>
      <c r="AQ9" s="16">
        <f t="shared" si="11"/>
        <v>1</v>
      </c>
      <c r="AR9" s="17"/>
      <c r="AS9" s="15">
        <v>1</v>
      </c>
      <c r="AT9" s="16">
        <f t="shared" si="12"/>
        <v>0</v>
      </c>
      <c r="AU9" s="17"/>
      <c r="AV9" s="15"/>
      <c r="AW9" s="16">
        <f t="shared" si="13"/>
        <v>0</v>
      </c>
      <c r="AX9" s="17"/>
      <c r="AY9" s="16"/>
      <c r="AZ9" s="16">
        <f t="shared" si="14"/>
        <v>0</v>
      </c>
      <c r="BA9" s="17"/>
      <c r="BB9" s="16"/>
      <c r="BC9" s="16">
        <f t="shared" si="15"/>
        <v>0</v>
      </c>
      <c r="BD9" s="17"/>
      <c r="BE9" s="16"/>
      <c r="BF9" s="16">
        <f t="shared" si="16"/>
        <v>0</v>
      </c>
      <c r="BG9" s="17"/>
      <c r="BH9" s="16"/>
      <c r="BI9" s="16">
        <f t="shared" si="17"/>
        <v>0</v>
      </c>
      <c r="BJ9" s="17"/>
      <c r="BK9" s="16"/>
      <c r="BL9" s="16">
        <f t="shared" si="18"/>
        <v>0</v>
      </c>
      <c r="BM9" s="17"/>
      <c r="BN9" s="16"/>
      <c r="BO9" s="16">
        <f t="shared" si="21"/>
        <v>0</v>
      </c>
      <c r="BP9" s="17"/>
      <c r="BQ9" s="18">
        <f t="shared" si="19"/>
        <v>6</v>
      </c>
      <c r="BR9" s="18">
        <f t="shared" si="20"/>
        <v>0</v>
      </c>
    </row>
    <row r="10" ht="42.75">
      <c r="A10" s="1"/>
      <c r="B10" s="12" t="s">
        <v>45</v>
      </c>
      <c r="C10" s="13" t="s">
        <v>46</v>
      </c>
      <c r="D10" s="14" t="s">
        <v>47</v>
      </c>
      <c r="E10" s="15" t="s">
        <v>36</v>
      </c>
      <c r="F10" s="15" t="s">
        <v>37</v>
      </c>
      <c r="G10" s="15" t="s">
        <v>48</v>
      </c>
      <c r="H10" s="15">
        <v>4</v>
      </c>
      <c r="I10" s="16"/>
      <c r="J10" s="16">
        <f t="shared" si="0"/>
        <v>4</v>
      </c>
      <c r="K10" s="17"/>
      <c r="L10" s="16"/>
      <c r="M10" s="16">
        <f t="shared" si="1"/>
        <v>4</v>
      </c>
      <c r="N10" s="17"/>
      <c r="O10" s="16"/>
      <c r="P10" s="16">
        <f t="shared" si="2"/>
        <v>4</v>
      </c>
      <c r="Q10" s="17"/>
      <c r="R10" s="15">
        <v>2</v>
      </c>
      <c r="S10" s="16">
        <f t="shared" si="3"/>
        <v>2</v>
      </c>
      <c r="T10" s="17"/>
      <c r="U10" s="15">
        <v>2</v>
      </c>
      <c r="V10" s="16">
        <f t="shared" si="4"/>
        <v>0</v>
      </c>
      <c r="W10" s="17"/>
      <c r="X10" s="16"/>
      <c r="Y10" s="16">
        <f t="shared" si="5"/>
        <v>0</v>
      </c>
      <c r="Z10" s="17"/>
      <c r="AA10" s="16"/>
      <c r="AB10" s="16">
        <f t="shared" si="6"/>
        <v>0</v>
      </c>
      <c r="AC10" s="17"/>
      <c r="AD10" s="16"/>
      <c r="AE10" s="16">
        <f t="shared" si="7"/>
        <v>0</v>
      </c>
      <c r="AF10" s="17"/>
      <c r="AG10" s="16"/>
      <c r="AH10" s="16">
        <f t="shared" si="8"/>
        <v>0</v>
      </c>
      <c r="AI10" s="17"/>
      <c r="AJ10" s="16"/>
      <c r="AK10" s="16">
        <f t="shared" si="9"/>
        <v>0</v>
      </c>
      <c r="AL10" s="17"/>
      <c r="AM10" s="16"/>
      <c r="AN10" s="16">
        <f t="shared" si="10"/>
        <v>0</v>
      </c>
      <c r="AO10" s="17"/>
      <c r="AP10" s="16"/>
      <c r="AQ10" s="16">
        <f t="shared" si="11"/>
        <v>0</v>
      </c>
      <c r="AR10" s="17"/>
      <c r="AS10" s="16"/>
      <c r="AT10" s="16">
        <f t="shared" si="12"/>
        <v>0</v>
      </c>
      <c r="AU10" s="17"/>
      <c r="AV10" s="16"/>
      <c r="AW10" s="16">
        <f t="shared" si="13"/>
        <v>0</v>
      </c>
      <c r="AX10" s="17"/>
      <c r="AY10" s="16"/>
      <c r="AZ10" s="16">
        <f t="shared" si="14"/>
        <v>0</v>
      </c>
      <c r="BA10" s="17"/>
      <c r="BB10" s="16"/>
      <c r="BC10" s="16">
        <f t="shared" si="15"/>
        <v>0</v>
      </c>
      <c r="BD10" s="17"/>
      <c r="BE10" s="16"/>
      <c r="BF10" s="16">
        <f t="shared" si="16"/>
        <v>0</v>
      </c>
      <c r="BG10" s="17"/>
      <c r="BH10" s="16"/>
      <c r="BI10" s="16">
        <f t="shared" si="17"/>
        <v>0</v>
      </c>
      <c r="BJ10" s="17"/>
      <c r="BK10" s="16"/>
      <c r="BL10" s="16">
        <f t="shared" si="18"/>
        <v>0</v>
      </c>
      <c r="BM10" s="17"/>
      <c r="BN10" s="16"/>
      <c r="BO10" s="16">
        <f t="shared" si="21"/>
        <v>0</v>
      </c>
      <c r="BP10" s="17"/>
      <c r="BQ10" s="18">
        <f t="shared" si="19"/>
        <v>4</v>
      </c>
      <c r="BR10" s="18">
        <f t="shared" si="20"/>
        <v>0</v>
      </c>
    </row>
    <row r="11" ht="42.75">
      <c r="A11" s="1"/>
      <c r="B11" s="21"/>
      <c r="C11" s="21"/>
      <c r="D11" s="14" t="s">
        <v>49</v>
      </c>
      <c r="E11" s="15" t="s">
        <v>36</v>
      </c>
      <c r="F11" s="15" t="s">
        <v>37</v>
      </c>
      <c r="G11" s="15" t="s">
        <v>50</v>
      </c>
      <c r="H11" s="15">
        <v>3</v>
      </c>
      <c r="I11" s="16"/>
      <c r="J11" s="16">
        <f t="shared" si="0"/>
        <v>3</v>
      </c>
      <c r="K11" s="17"/>
      <c r="L11" s="16"/>
      <c r="M11" s="16">
        <f t="shared" si="1"/>
        <v>3</v>
      </c>
      <c r="N11" s="17"/>
      <c r="O11" s="16"/>
      <c r="P11" s="16">
        <f t="shared" si="2"/>
        <v>3</v>
      </c>
      <c r="Q11" s="17"/>
      <c r="R11" s="16"/>
      <c r="S11" s="16">
        <f t="shared" si="3"/>
        <v>3</v>
      </c>
      <c r="T11" s="17"/>
      <c r="U11" s="16"/>
      <c r="V11" s="16">
        <f t="shared" si="4"/>
        <v>3</v>
      </c>
      <c r="W11" s="17"/>
      <c r="X11" s="16"/>
      <c r="Y11" s="16">
        <f t="shared" si="5"/>
        <v>3</v>
      </c>
      <c r="Z11" s="17"/>
      <c r="AA11" s="15">
        <v>3</v>
      </c>
      <c r="AB11" s="16">
        <f t="shared" si="6"/>
        <v>0</v>
      </c>
      <c r="AC11" s="17"/>
      <c r="AD11" s="15"/>
      <c r="AE11" s="16">
        <f t="shared" si="7"/>
        <v>0</v>
      </c>
      <c r="AF11" s="17"/>
      <c r="AG11" s="16"/>
      <c r="AH11" s="16">
        <f t="shared" si="8"/>
        <v>0</v>
      </c>
      <c r="AI11" s="17"/>
      <c r="AJ11" s="16"/>
      <c r="AK11" s="16">
        <f t="shared" si="9"/>
        <v>0</v>
      </c>
      <c r="AL11" s="17"/>
      <c r="AM11" s="16"/>
      <c r="AN11" s="16">
        <f t="shared" si="10"/>
        <v>0</v>
      </c>
      <c r="AO11" s="17"/>
      <c r="AP11" s="16"/>
      <c r="AQ11" s="16">
        <f t="shared" si="11"/>
        <v>0</v>
      </c>
      <c r="AR11" s="17"/>
      <c r="AS11" s="16"/>
      <c r="AT11" s="16">
        <f t="shared" si="12"/>
        <v>0</v>
      </c>
      <c r="AU11" s="17"/>
      <c r="AV11" s="16"/>
      <c r="AW11" s="16">
        <f t="shared" si="13"/>
        <v>0</v>
      </c>
      <c r="AX11" s="17"/>
      <c r="AY11" s="16"/>
      <c r="AZ11" s="16">
        <f t="shared" si="14"/>
        <v>0</v>
      </c>
      <c r="BA11" s="17"/>
      <c r="BB11" s="16"/>
      <c r="BC11" s="16">
        <f t="shared" si="15"/>
        <v>0</v>
      </c>
      <c r="BD11" s="17"/>
      <c r="BE11" s="16"/>
      <c r="BF11" s="16">
        <f t="shared" si="16"/>
        <v>0</v>
      </c>
      <c r="BG11" s="17"/>
      <c r="BH11" s="16"/>
      <c r="BI11" s="16">
        <f t="shared" si="17"/>
        <v>0</v>
      </c>
      <c r="BJ11" s="17"/>
      <c r="BK11" s="16"/>
      <c r="BL11" s="16">
        <f t="shared" si="18"/>
        <v>0</v>
      </c>
      <c r="BM11" s="17"/>
      <c r="BN11" s="16"/>
      <c r="BO11" s="16">
        <f t="shared" si="21"/>
        <v>0</v>
      </c>
      <c r="BP11" s="17"/>
      <c r="BQ11" s="18">
        <f t="shared" si="19"/>
        <v>3</v>
      </c>
      <c r="BR11" s="18">
        <f t="shared" si="20"/>
        <v>0</v>
      </c>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row>
    <row r="16" ht="15.75" customHeight="1">
      <c r="A16" s="1"/>
      <c r="B16" s="1"/>
      <c r="C16" s="1"/>
      <c r="D16" s="1"/>
      <c r="E16" s="1"/>
      <c r="F16" s="1"/>
      <c r="G16" s="1"/>
      <c r="H16" s="1"/>
      <c r="I16" s="1"/>
      <c r="J16" s="22"/>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row>
    <row r="19" ht="15.75" customHeight="1">
      <c r="A19" s="1"/>
      <c r="B19" s="1"/>
      <c r="C19" s="1"/>
      <c r="D19" s="1"/>
      <c r="E19" s="1"/>
      <c r="F19" s="22"/>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row>
  </sheetData>
  <mergeCells count="25">
    <mergeCell ref="I4:J4"/>
    <mergeCell ref="L4:M4"/>
    <mergeCell ref="O4:P4"/>
    <mergeCell ref="R4:S4"/>
    <mergeCell ref="U4:V4"/>
    <mergeCell ref="X4:Y4"/>
    <mergeCell ref="AA4:AB4"/>
    <mergeCell ref="AD4:AE4"/>
    <mergeCell ref="AG4:AH4"/>
    <mergeCell ref="AJ4:AK4"/>
    <mergeCell ref="AM4:AN4"/>
    <mergeCell ref="AP4:AQ4"/>
    <mergeCell ref="AS4:AT4"/>
    <mergeCell ref="AV4:AW4"/>
    <mergeCell ref="AY4:AZ4"/>
    <mergeCell ref="BB4:BC4"/>
    <mergeCell ref="BE4:BF4"/>
    <mergeCell ref="BH4:BI4"/>
    <mergeCell ref="BK4:BL4"/>
    <mergeCell ref="BN4:BO4"/>
    <mergeCell ref="BQ4:BR4"/>
    <mergeCell ref="B6:B9"/>
    <mergeCell ref="C6:C9"/>
    <mergeCell ref="B10:B11"/>
    <mergeCell ref="C10:C11"/>
  </mergeCells>
  <printOptions headings="0" gridLines="0"/>
  <pageMargins left="0.62992125984251968" right="0.62992125984251968" top="0.74803149606299213" bottom="0.74803149606299213" header="0" footer="0"/>
  <pageSetup paperSize="9" scale="100" fitToWidth="1" fitToHeight="1" pageOrder="downThenOver" orientation="landscape" usePrinterDefaults="1" blackAndWhite="0" draft="0" cellComments="none" useFirstPageNumber="0" errors="displayed" horizontalDpi="600" verticalDpi="600" copies="1"/>
  <headerFooter/>
  <colBreaks count="4" manualBreakCount="4">
    <brk id="37" man="1"/>
    <brk id="53" man="1"/>
    <brk id="22" man="1"/>
    <brk id="70" man="1"/>
  </colBreaks>
  <extLst>
    <ext xmlns:x14="http://schemas.microsoft.com/office/spreadsheetml/2009/9/main" uri="{CCE6A557-97BC-4b89-ADB6-D9C93CAAB3DF}">
      <x14:dataValidations xmlns:xm="http://schemas.microsoft.com/office/excel/2006/main" count="2" disablePrompts="0">
        <x14:dataValidation xr:uid="{295E7AE6-BFAD-4286-87E5-377CCACA2D8A}" type="list" allowBlank="1" errorStyle="stop" imeMode="noControl" operator="between" showDropDown="0" showErrorMessage="1" showInputMessage="0">
          <x14:formula1>
            <xm:f>"Antonia Lizana,Marcelo Valladares"</xm:f>
          </x14:formula1>
          <xm:sqref>E6:E11</xm:sqref>
        </x14:dataValidation>
        <x14:dataValidation xr:uid="{DE910CCE-B98B-4DC5-90BA-C96B7AA4D166}" type="list" allowBlank="1" errorStyle="stop" imeMode="noControl" operator="between" showDropDown="0" showErrorMessage="1" showInputMessage="0">
          <x14:formula1>
            <xm:f>"Nuevo,En progreso,Listo para probar,Cerrado,Se necesito info"</xm:f>
          </x14:formula1>
          <xm:sqref>F6:F11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6" ySplit="5" topLeftCell="G6" activePane="bottomRight" state="frozen"/>
      <selection activeCell="G6" activeCellId="0" sqref="G6"/>
    </sheetView>
  </sheetViews>
  <sheetFormatPr defaultColWidth="12.630000000000001" defaultRowHeight="15" customHeight="1"/>
  <cols>
    <col customWidth="1" min="1" max="1" width="0.38"/>
    <col customWidth="1" min="2" max="2" width="10.75"/>
    <col customWidth="1" min="3" max="3" width="37.75"/>
    <col customWidth="1" min="4" max="4" width="34.130000000000003"/>
    <col customWidth="1" min="5" max="5" width="21.25"/>
    <col customWidth="1" min="6" max="6" width="18.25"/>
    <col customWidth="1" min="7" max="8" width="13.5"/>
    <col customWidth="1" min="9" max="9" width="5.1299999999999999"/>
    <col customWidth="1" min="10" max="10" width="4.75"/>
    <col customWidth="1" min="11" max="11" width="2.3799999999999999"/>
    <col customWidth="1" min="12" max="12" width="5.1299999999999999"/>
    <col customWidth="1" min="13" max="13" width="4.75"/>
    <col customWidth="1" min="14" max="14" width="2.3799999999999999"/>
    <col customWidth="1" min="15" max="15" width="5.1299999999999999"/>
    <col customWidth="1" min="16" max="16" width="4.75"/>
    <col customWidth="1" min="17" max="17" width="2.3799999999999999"/>
    <col customWidth="1" min="18" max="18" width="5.1299999999999999"/>
    <col customWidth="1" min="19" max="19" width="4.75"/>
    <col customWidth="1" min="20" max="20" width="2.3799999999999999"/>
    <col customWidth="1" min="21" max="21" width="5.1299999999999999"/>
    <col customWidth="1" min="22" max="22" width="4.75"/>
    <col customWidth="1" min="23" max="23" width="2.3799999999999999"/>
    <col customWidth="1" min="24" max="24" width="5.1299999999999999"/>
    <col customWidth="1" min="25" max="25" width="4.75"/>
    <col customWidth="1" min="26" max="26" width="2.3799999999999999"/>
    <col customWidth="1" min="27" max="27" width="5.1299999999999999"/>
    <col customWidth="1" min="28" max="28" width="4.75"/>
    <col customWidth="1" min="29" max="29" width="2.3799999999999999"/>
    <col customWidth="1" min="30" max="30" width="5.1299999999999999"/>
    <col customWidth="1" min="31" max="31" width="4.75"/>
    <col customWidth="1" min="32" max="32" width="2.3799999999999999"/>
    <col customWidth="1" min="33" max="33" width="5.1299999999999999"/>
    <col customWidth="1" min="34" max="34" width="4.75"/>
    <col customWidth="1" min="35" max="35" width="2.3799999999999999"/>
    <col customWidth="1" min="36" max="36" width="5.1299999999999999"/>
    <col customWidth="1" min="37" max="37" width="4.75"/>
    <col customWidth="1" min="38" max="38" width="2.3799999999999999"/>
    <col customWidth="1" min="39" max="39" width="5.1299999999999999"/>
    <col customWidth="1" min="40" max="40" width="4.75"/>
    <col customWidth="1" min="41" max="41" width="2.3799999999999999"/>
    <col customWidth="1" min="42" max="42" width="5.1299999999999999"/>
    <col customWidth="1" min="43" max="43" width="4.75"/>
    <col customWidth="1" min="44" max="44" width="2.3799999999999999"/>
    <col customWidth="1" min="45" max="45" width="5.1299999999999999"/>
    <col customWidth="1" min="46" max="46" width="4.75"/>
    <col customWidth="1" min="47" max="47" width="2.3799999999999999"/>
    <col customWidth="1" min="48" max="48" width="5.1299999999999999"/>
    <col customWidth="1" min="49" max="49" width="4.75"/>
    <col customWidth="1" min="50" max="50" width="2.3799999999999999"/>
    <col customWidth="1" min="51" max="51" width="5.1299999999999999"/>
    <col customWidth="1" min="52" max="52" width="4.75"/>
    <col customWidth="1" min="53" max="53" width="2.3799999999999999"/>
    <col customWidth="1" min="54" max="54" width="5.1299999999999999"/>
    <col customWidth="1" min="55" max="55" width="4.75"/>
    <col customWidth="1" min="56" max="56" width="2.3799999999999999"/>
    <col customWidth="1" min="57" max="57" width="5.1299999999999999"/>
    <col customWidth="1" min="58" max="58" width="4.75"/>
    <col customWidth="1" min="59" max="59" width="2.3799999999999999"/>
    <col customWidth="1" min="60" max="60" width="5.1299999999999999"/>
    <col customWidth="1" min="61" max="61" width="4.75"/>
    <col customWidth="1" min="62" max="62" width="2.3799999999999999"/>
    <col customWidth="1" min="63" max="63" width="5.1299999999999999"/>
    <col customWidth="1" min="64" max="64" width="4.75"/>
    <col customWidth="1" min="65" max="65" width="2.3799999999999999"/>
    <col customWidth="1" min="66" max="66" width="5.1299999999999999"/>
    <col customWidth="1" min="67" max="67" width="4.75"/>
    <col customWidth="1" min="68" max="68" width="2.3799999999999999"/>
    <col customWidth="1" min="69" max="69" width="5.5"/>
    <col customWidth="1" min="70" max="70" width="5.1299999999999999"/>
    <col customWidth="1" min="71" max="71" width="2.1299999999999999"/>
    <col customWidth="1" min="72" max="72" width="6.1299999999999999"/>
    <col customWidth="1" min="73" max="73" width="4.75"/>
    <col customWidth="1" min="74" max="74" width="2.1299999999999999"/>
    <col customWidth="1" min="75" max="75" width="5.75"/>
    <col customWidth="1" min="76" max="76" width="4.75"/>
    <col customWidth="1" min="77" max="77" width="2"/>
    <col customWidth="1" min="78" max="78" width="5.75"/>
    <col customWidth="1" min="79" max="79" width="4.75"/>
    <col customWidth="1" min="80" max="80" width="2.1299999999999999"/>
    <col customWidth="1" min="81" max="81" width="6"/>
    <col customWidth="1" min="82" max="82" width="4.75"/>
    <col customWidth="1" min="83" max="83" width="1.8799999999999999"/>
    <col customWidth="1" min="84" max="84" width="6"/>
    <col customWidth="1" min="85" max="85" width="4.75"/>
    <col customWidth="1" min="86" max="86" width="2.3799999999999999"/>
    <col customWidth="1" min="87" max="87" width="5.1299999999999999"/>
    <col customWidth="1" min="88" max="88" width="4.75"/>
    <col customWidth="1" min="89" max="89" width="1.8799999999999999"/>
    <col customWidth="1" min="90" max="90" width="5.3799999999999999"/>
    <col customWidth="1" min="91" max="91" width="4.75"/>
    <col customWidth="1" min="92" max="92" width="1.8799999999999999"/>
    <col customWidth="1" min="93" max="93" width="5.6299999999999999"/>
    <col customWidth="1" min="94" max="94" width="4.75"/>
    <col customWidth="1" min="95" max="95" width="5.5"/>
    <col customWidth="1" min="96" max="98" width="4.75"/>
  </cols>
  <sheetData>
    <row r="1" ht="27.75">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ht="27.75">
      <c r="A2" s="1"/>
      <c r="B2" s="3" t="s">
        <v>51</v>
      </c>
      <c r="C2" s="23"/>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ht="21">
      <c r="A3" s="1"/>
      <c r="B3" s="4" t="s">
        <v>1</v>
      </c>
      <c r="C3" s="23"/>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c r="A4" s="1"/>
      <c r="B4" s="1"/>
      <c r="C4" s="1"/>
      <c r="D4" s="1"/>
      <c r="E4" s="1"/>
      <c r="F4" s="1"/>
      <c r="G4" s="1"/>
      <c r="H4" s="24" t="s">
        <v>52</v>
      </c>
      <c r="I4" s="6" t="s">
        <v>3</v>
      </c>
      <c r="J4" s="7"/>
      <c r="K4" s="6"/>
      <c r="L4" s="8" t="s">
        <v>4</v>
      </c>
      <c r="M4" s="7"/>
      <c r="N4" s="6"/>
      <c r="O4" s="8" t="s">
        <v>5</v>
      </c>
      <c r="P4" s="7"/>
      <c r="Q4" s="6"/>
      <c r="R4" s="8" t="s">
        <v>6</v>
      </c>
      <c r="S4" s="7"/>
      <c r="T4" s="6"/>
      <c r="U4" s="8" t="s">
        <v>7</v>
      </c>
      <c r="V4" s="7"/>
      <c r="W4" s="6"/>
      <c r="X4" s="8" t="s">
        <v>8</v>
      </c>
      <c r="Y4" s="7"/>
      <c r="Z4" s="6"/>
      <c r="AA4" s="8" t="s">
        <v>9</v>
      </c>
      <c r="AB4" s="7"/>
      <c r="AC4" s="6"/>
      <c r="AD4" s="8" t="s">
        <v>10</v>
      </c>
      <c r="AE4" s="7"/>
      <c r="AF4" s="6"/>
      <c r="AG4" s="8" t="s">
        <v>11</v>
      </c>
      <c r="AH4" s="7"/>
      <c r="AI4" s="6"/>
      <c r="AJ4" s="8" t="s">
        <v>12</v>
      </c>
      <c r="AK4" s="7"/>
      <c r="AL4" s="6"/>
      <c r="AM4" s="8" t="s">
        <v>13</v>
      </c>
      <c r="AN4" s="7"/>
      <c r="AO4" s="6"/>
      <c r="AP4" s="8" t="s">
        <v>14</v>
      </c>
      <c r="AQ4" s="7"/>
      <c r="AR4" s="6"/>
      <c r="AS4" s="8" t="s">
        <v>15</v>
      </c>
      <c r="AT4" s="7"/>
      <c r="AU4" s="6"/>
      <c r="AV4" s="8" t="s">
        <v>16</v>
      </c>
      <c r="AW4" s="7"/>
      <c r="AX4" s="6"/>
      <c r="AY4" s="8" t="s">
        <v>17</v>
      </c>
      <c r="AZ4" s="7"/>
      <c r="BA4" s="6"/>
      <c r="BB4" s="8" t="s">
        <v>18</v>
      </c>
      <c r="BC4" s="7"/>
      <c r="BD4" s="6"/>
      <c r="BE4" s="8" t="s">
        <v>19</v>
      </c>
      <c r="BF4" s="7"/>
      <c r="BG4" s="6"/>
      <c r="BH4" s="8" t="s">
        <v>20</v>
      </c>
      <c r="BI4" s="7"/>
      <c r="BJ4" s="6"/>
      <c r="BK4" s="8" t="s">
        <v>21</v>
      </c>
      <c r="BL4" s="7"/>
      <c r="BM4" s="6"/>
      <c r="BN4" s="8" t="s">
        <v>22</v>
      </c>
      <c r="BO4" s="7"/>
      <c r="BP4" s="6"/>
      <c r="BQ4" s="25" t="s">
        <v>53</v>
      </c>
      <c r="BR4" s="7"/>
      <c r="BS4" s="6"/>
      <c r="BT4" s="25" t="s">
        <v>54</v>
      </c>
      <c r="BU4" s="7"/>
      <c r="BV4" s="6"/>
      <c r="BW4" s="25" t="s">
        <v>55</v>
      </c>
      <c r="BX4" s="7"/>
      <c r="BY4" s="6"/>
      <c r="BZ4" s="25" t="s">
        <v>56</v>
      </c>
      <c r="CA4" s="7"/>
      <c r="CB4" s="6"/>
      <c r="CC4" s="25" t="s">
        <v>57</v>
      </c>
      <c r="CD4" s="7"/>
      <c r="CE4" s="6"/>
      <c r="CF4" s="25" t="s">
        <v>58</v>
      </c>
      <c r="CG4" s="7"/>
      <c r="CH4" s="6"/>
      <c r="CI4" s="25" t="s">
        <v>59</v>
      </c>
      <c r="CJ4" s="7"/>
      <c r="CK4" s="6"/>
      <c r="CL4" s="25" t="s">
        <v>60</v>
      </c>
      <c r="CM4" s="7"/>
      <c r="CN4" s="6"/>
      <c r="CO4" s="25" t="s">
        <v>61</v>
      </c>
      <c r="CP4" s="7"/>
      <c r="CQ4" s="8" t="s">
        <v>23</v>
      </c>
      <c r="CR4" s="7"/>
      <c r="CS4" s="1"/>
      <c r="CT4" s="1"/>
    </row>
    <row r="5" ht="57">
      <c r="A5" s="1"/>
      <c r="B5" s="9" t="s">
        <v>24</v>
      </c>
      <c r="C5" s="9" t="s">
        <v>25</v>
      </c>
      <c r="D5" s="9" t="s">
        <v>26</v>
      </c>
      <c r="E5" s="9" t="s">
        <v>27</v>
      </c>
      <c r="F5" s="9" t="s">
        <v>28</v>
      </c>
      <c r="G5" s="10" t="s">
        <v>29</v>
      </c>
      <c r="H5" s="11" t="s">
        <v>30</v>
      </c>
      <c r="I5" s="11" t="s">
        <v>31</v>
      </c>
      <c r="J5" s="11" t="s">
        <v>32</v>
      </c>
      <c r="K5" s="11"/>
      <c r="L5" s="11" t="s">
        <v>31</v>
      </c>
      <c r="M5" s="11" t="s">
        <v>32</v>
      </c>
      <c r="N5" s="11"/>
      <c r="O5" s="11" t="s">
        <v>31</v>
      </c>
      <c r="P5" s="11" t="s">
        <v>32</v>
      </c>
      <c r="Q5" s="11"/>
      <c r="R5" s="11" t="s">
        <v>31</v>
      </c>
      <c r="S5" s="11" t="s">
        <v>32</v>
      </c>
      <c r="T5" s="11"/>
      <c r="U5" s="11" t="s">
        <v>31</v>
      </c>
      <c r="V5" s="11" t="s">
        <v>32</v>
      </c>
      <c r="W5" s="11"/>
      <c r="X5" s="11" t="s">
        <v>31</v>
      </c>
      <c r="Y5" s="11" t="s">
        <v>32</v>
      </c>
      <c r="Z5" s="11"/>
      <c r="AA5" s="11" t="s">
        <v>31</v>
      </c>
      <c r="AB5" s="11" t="s">
        <v>32</v>
      </c>
      <c r="AC5" s="11"/>
      <c r="AD5" s="11" t="s">
        <v>31</v>
      </c>
      <c r="AE5" s="11" t="s">
        <v>32</v>
      </c>
      <c r="AF5" s="11"/>
      <c r="AG5" s="11" t="s">
        <v>31</v>
      </c>
      <c r="AH5" s="11" t="s">
        <v>32</v>
      </c>
      <c r="AI5" s="11"/>
      <c r="AJ5" s="11" t="s">
        <v>31</v>
      </c>
      <c r="AK5" s="11" t="s">
        <v>32</v>
      </c>
      <c r="AL5" s="11"/>
      <c r="AM5" s="11" t="s">
        <v>31</v>
      </c>
      <c r="AN5" s="11" t="s">
        <v>32</v>
      </c>
      <c r="AO5" s="11"/>
      <c r="AP5" s="11" t="s">
        <v>31</v>
      </c>
      <c r="AQ5" s="11" t="s">
        <v>32</v>
      </c>
      <c r="AR5" s="11"/>
      <c r="AS5" s="11" t="s">
        <v>31</v>
      </c>
      <c r="AT5" s="11" t="s">
        <v>32</v>
      </c>
      <c r="AU5" s="11"/>
      <c r="AV5" s="11" t="s">
        <v>31</v>
      </c>
      <c r="AW5" s="11" t="s">
        <v>32</v>
      </c>
      <c r="AX5" s="11"/>
      <c r="AY5" s="11" t="s">
        <v>31</v>
      </c>
      <c r="AZ5" s="11" t="s">
        <v>32</v>
      </c>
      <c r="BA5" s="11"/>
      <c r="BB5" s="11" t="s">
        <v>31</v>
      </c>
      <c r="BC5" s="11" t="s">
        <v>32</v>
      </c>
      <c r="BD5" s="11"/>
      <c r="BE5" s="11" t="s">
        <v>31</v>
      </c>
      <c r="BF5" s="11" t="s">
        <v>32</v>
      </c>
      <c r="BG5" s="11"/>
      <c r="BH5" s="11" t="s">
        <v>31</v>
      </c>
      <c r="BI5" s="11" t="s">
        <v>32</v>
      </c>
      <c r="BJ5" s="11"/>
      <c r="BK5" s="11" t="s">
        <v>31</v>
      </c>
      <c r="BL5" s="11" t="s">
        <v>32</v>
      </c>
      <c r="BM5" s="11"/>
      <c r="BN5" s="11" t="s">
        <v>31</v>
      </c>
      <c r="BO5" s="11" t="s">
        <v>32</v>
      </c>
      <c r="BP5" s="11"/>
      <c r="BQ5" s="11" t="s">
        <v>31</v>
      </c>
      <c r="BR5" s="11" t="s">
        <v>32</v>
      </c>
      <c r="BS5" s="11"/>
      <c r="BT5" s="11" t="s">
        <v>31</v>
      </c>
      <c r="BU5" s="11" t="s">
        <v>32</v>
      </c>
      <c r="BV5" s="11"/>
      <c r="BW5" s="11" t="s">
        <v>31</v>
      </c>
      <c r="BX5" s="11" t="s">
        <v>32</v>
      </c>
      <c r="BY5" s="11"/>
      <c r="BZ5" s="11" t="s">
        <v>31</v>
      </c>
      <c r="CA5" s="11" t="s">
        <v>32</v>
      </c>
      <c r="CB5" s="11"/>
      <c r="CC5" s="11" t="s">
        <v>31</v>
      </c>
      <c r="CD5" s="11" t="s">
        <v>32</v>
      </c>
      <c r="CE5" s="11"/>
      <c r="CF5" s="11" t="s">
        <v>31</v>
      </c>
      <c r="CG5" s="11" t="s">
        <v>32</v>
      </c>
      <c r="CH5" s="11"/>
      <c r="CI5" s="11" t="s">
        <v>31</v>
      </c>
      <c r="CJ5" s="11" t="s">
        <v>32</v>
      </c>
      <c r="CK5" s="11"/>
      <c r="CL5" s="11" t="s">
        <v>31</v>
      </c>
      <c r="CM5" s="11" t="s">
        <v>32</v>
      </c>
      <c r="CN5" s="11"/>
      <c r="CO5" s="11" t="s">
        <v>31</v>
      </c>
      <c r="CP5" s="11" t="s">
        <v>32</v>
      </c>
      <c r="CQ5" s="11" t="s">
        <v>31</v>
      </c>
      <c r="CR5" s="11" t="s">
        <v>32</v>
      </c>
      <c r="CS5" s="1"/>
      <c r="CT5" s="1"/>
    </row>
    <row r="6" ht="42" customHeight="1">
      <c r="A6" s="1"/>
      <c r="B6" s="12" t="s">
        <v>62</v>
      </c>
      <c r="C6" s="13" t="s">
        <v>63</v>
      </c>
      <c r="D6" s="14" t="s">
        <v>64</v>
      </c>
      <c r="E6" s="15" t="s">
        <v>36</v>
      </c>
      <c r="F6" s="15" t="s">
        <v>37</v>
      </c>
      <c r="G6" s="15" t="s">
        <v>65</v>
      </c>
      <c r="H6" s="15">
        <v>4</v>
      </c>
      <c r="I6" s="15"/>
      <c r="J6" s="16">
        <f t="shared" ref="J6:J22" si="22">H6-I6</f>
        <v>4</v>
      </c>
      <c r="K6" s="17"/>
      <c r="L6" s="15">
        <v>1</v>
      </c>
      <c r="M6" s="16">
        <f t="shared" ref="M6:M22" si="23">J6-L6</f>
        <v>3</v>
      </c>
      <c r="N6" s="17"/>
      <c r="O6" s="16"/>
      <c r="P6" s="16">
        <f t="shared" ref="P6:P22" si="24">M6-O6</f>
        <v>3</v>
      </c>
      <c r="Q6" s="17"/>
      <c r="R6" s="15">
        <v>2</v>
      </c>
      <c r="S6" s="16">
        <f t="shared" ref="S6:S22" si="25">P6-R6</f>
        <v>1</v>
      </c>
      <c r="T6" s="17"/>
      <c r="U6" s="15">
        <v>1</v>
      </c>
      <c r="V6" s="16">
        <f t="shared" ref="V6:V22" si="26">S6-U6</f>
        <v>0</v>
      </c>
      <c r="W6" s="17"/>
      <c r="X6" s="16"/>
      <c r="Y6" s="16">
        <f t="shared" ref="Y6:Y22" si="27">V6-X6</f>
        <v>0</v>
      </c>
      <c r="Z6" s="17"/>
      <c r="AA6" s="16"/>
      <c r="AB6" s="16">
        <f t="shared" ref="AB6:AB22" si="28">Y6-AA6</f>
        <v>0</v>
      </c>
      <c r="AC6" s="17"/>
      <c r="AD6" s="16"/>
      <c r="AE6" s="16">
        <f t="shared" ref="AE6:AE18" si="29">AB6-AD6</f>
        <v>0</v>
      </c>
      <c r="AF6" s="17"/>
      <c r="AG6" s="16"/>
      <c r="AH6" s="16">
        <f t="shared" ref="AH6:AH22" si="30">AE6-AG6</f>
        <v>0</v>
      </c>
      <c r="AI6" s="17"/>
      <c r="AJ6" s="16"/>
      <c r="AK6" s="16">
        <f t="shared" ref="AK6:AK22" si="31">AH6-AJ6</f>
        <v>0</v>
      </c>
      <c r="AL6" s="17"/>
      <c r="AM6" s="16"/>
      <c r="AN6" s="16">
        <f t="shared" ref="AN6:AN22" si="32">AK6-AM6</f>
        <v>0</v>
      </c>
      <c r="AO6" s="17"/>
      <c r="AP6" s="16"/>
      <c r="AQ6" s="16">
        <f t="shared" ref="AQ6:AQ22" si="33">AN6-AP6</f>
        <v>0</v>
      </c>
      <c r="AR6" s="17"/>
      <c r="AS6" s="16"/>
      <c r="AT6" s="16">
        <f t="shared" ref="AT6:AT22" si="34">AQ6-AS6</f>
        <v>0</v>
      </c>
      <c r="AU6" s="17"/>
      <c r="AV6" s="16"/>
      <c r="AW6" s="16">
        <f t="shared" ref="AW6:AW22" si="35">AT6-AV6</f>
        <v>0</v>
      </c>
      <c r="AX6" s="17"/>
      <c r="AY6" s="16"/>
      <c r="AZ6" s="16">
        <f t="shared" ref="AZ6:AZ22" si="36">AW6-AY6</f>
        <v>0</v>
      </c>
      <c r="BA6" s="17"/>
      <c r="BB6" s="16"/>
      <c r="BC6" s="16">
        <f t="shared" ref="BC6:BC22" si="37">AZ6-BB6</f>
        <v>0</v>
      </c>
      <c r="BD6" s="17"/>
      <c r="BE6" s="16"/>
      <c r="BF6" s="16">
        <f t="shared" ref="BF6:BF22" si="38">BC6-BE6</f>
        <v>0</v>
      </c>
      <c r="BG6" s="17"/>
      <c r="BH6" s="16"/>
      <c r="BI6" s="16">
        <f t="shared" ref="BI6:BI22" si="39">BF6-BH6</f>
        <v>0</v>
      </c>
      <c r="BJ6" s="17"/>
      <c r="BK6" s="16"/>
      <c r="BL6" s="16">
        <f t="shared" ref="BL6:BL22" si="40">BI6-BK6</f>
        <v>0</v>
      </c>
      <c r="BM6" s="17"/>
      <c r="BN6" s="16"/>
      <c r="BO6" s="16">
        <f t="shared" ref="BO6:BO22" si="41">BL6-BN6</f>
        <v>0</v>
      </c>
      <c r="BP6" s="17"/>
      <c r="BQ6" s="16"/>
      <c r="BR6" s="16">
        <f t="shared" ref="BR6:BR22" si="42">BO6-BQ6</f>
        <v>0</v>
      </c>
      <c r="BS6" s="17"/>
      <c r="BT6" s="16"/>
      <c r="BU6" s="16">
        <f t="shared" ref="BU6:BU22" si="43">BR6-BT6</f>
        <v>0</v>
      </c>
      <c r="BV6" s="17"/>
      <c r="BW6" s="16"/>
      <c r="BX6" s="16">
        <f t="shared" ref="BX6:BX22" si="44">BU6-BW6</f>
        <v>0</v>
      </c>
      <c r="BY6" s="17"/>
      <c r="BZ6" s="16"/>
      <c r="CA6" s="16">
        <f t="shared" ref="CA6:CA22" si="45">BX6-BZ6</f>
        <v>0</v>
      </c>
      <c r="CB6" s="17"/>
      <c r="CC6" s="16"/>
      <c r="CD6" s="16">
        <f t="shared" ref="CD6:CD22" si="46">CA6-CC6</f>
        <v>0</v>
      </c>
      <c r="CE6" s="17"/>
      <c r="CF6" s="16"/>
      <c r="CG6" s="16">
        <f t="shared" ref="CG6:CG22" si="47">CD6-CF6</f>
        <v>0</v>
      </c>
      <c r="CH6" s="17"/>
      <c r="CI6" s="16"/>
      <c r="CJ6" s="16">
        <f t="shared" ref="CJ6:CJ22" si="48">CG6-CI6</f>
        <v>0</v>
      </c>
      <c r="CK6" s="17"/>
      <c r="CL6" s="16"/>
      <c r="CM6" s="16">
        <f t="shared" ref="CM6:CM22" si="49">CJ6-CL6</f>
        <v>0</v>
      </c>
      <c r="CN6" s="17"/>
      <c r="CO6" s="16"/>
      <c r="CP6" s="16">
        <f t="shared" ref="CP6:CP22" si="50">CM6-CO6</f>
        <v>0</v>
      </c>
      <c r="CQ6" s="18">
        <f t="shared" ref="CQ6:CQ22" si="51">I6+L6+O6+R6+U6+X6+AA6+AD6+AG6+AJ6+AM6+AP6+AS6+AV6+AY6+BB6+BE6+BH6+BK6+BN6+BQ6+BT6+BW6+BZ6+CC6+CF6+CI6+CL6+CO6</f>
        <v>4</v>
      </c>
      <c r="CR6" s="18">
        <f t="shared" ref="CR6:CR22" si="52">H6-CQ6</f>
        <v>0</v>
      </c>
      <c r="CS6" s="1"/>
      <c r="CT6" s="1"/>
    </row>
    <row r="7" ht="23.25" customHeight="1">
      <c r="A7" s="1"/>
      <c r="B7" s="19"/>
      <c r="C7" s="19"/>
      <c r="D7" s="14" t="s">
        <v>66</v>
      </c>
      <c r="E7" s="15" t="s">
        <v>67</v>
      </c>
      <c r="F7" s="15" t="s">
        <v>37</v>
      </c>
      <c r="G7" s="15" t="s">
        <v>68</v>
      </c>
      <c r="H7" s="15">
        <v>10</v>
      </c>
      <c r="I7" s="16"/>
      <c r="J7" s="16">
        <f t="shared" si="22"/>
        <v>10</v>
      </c>
      <c r="K7" s="17"/>
      <c r="L7" s="16"/>
      <c r="M7" s="16">
        <f t="shared" si="23"/>
        <v>10</v>
      </c>
      <c r="N7" s="17"/>
      <c r="O7" s="16"/>
      <c r="P7" s="16">
        <f t="shared" si="24"/>
        <v>10</v>
      </c>
      <c r="Q7" s="17"/>
      <c r="R7" s="16"/>
      <c r="S7" s="16">
        <f t="shared" si="25"/>
        <v>10</v>
      </c>
      <c r="T7" s="17"/>
      <c r="U7" s="15">
        <v>2</v>
      </c>
      <c r="V7" s="16">
        <f t="shared" si="26"/>
        <v>8</v>
      </c>
      <c r="W7" s="17"/>
      <c r="X7" s="15">
        <v>1</v>
      </c>
      <c r="Y7" s="16">
        <f t="shared" si="27"/>
        <v>7</v>
      </c>
      <c r="Z7" s="17"/>
      <c r="AA7" s="16"/>
      <c r="AB7" s="16">
        <f t="shared" si="28"/>
        <v>7</v>
      </c>
      <c r="AC7" s="17"/>
      <c r="AD7" s="16"/>
      <c r="AE7" s="16">
        <f t="shared" si="29"/>
        <v>7</v>
      </c>
      <c r="AF7" s="17"/>
      <c r="AG7" s="16"/>
      <c r="AH7" s="16">
        <f t="shared" si="30"/>
        <v>7</v>
      </c>
      <c r="AI7" s="17"/>
      <c r="AJ7" s="15">
        <v>2</v>
      </c>
      <c r="AK7" s="16">
        <f t="shared" si="31"/>
        <v>5</v>
      </c>
      <c r="AL7" s="17"/>
      <c r="AM7" s="15">
        <v>2</v>
      </c>
      <c r="AN7" s="16">
        <f t="shared" si="32"/>
        <v>3</v>
      </c>
      <c r="AO7" s="17"/>
      <c r="AP7" s="15">
        <v>2</v>
      </c>
      <c r="AQ7" s="16">
        <f t="shared" si="33"/>
        <v>1</v>
      </c>
      <c r="AR7" s="17"/>
      <c r="AS7" s="15">
        <v>1</v>
      </c>
      <c r="AT7" s="16">
        <f t="shared" si="34"/>
        <v>0</v>
      </c>
      <c r="AU7" s="17"/>
      <c r="AV7" s="16"/>
      <c r="AW7" s="16">
        <f t="shared" si="35"/>
        <v>0</v>
      </c>
      <c r="AX7" s="17"/>
      <c r="AY7" s="16"/>
      <c r="AZ7" s="16">
        <f t="shared" si="36"/>
        <v>0</v>
      </c>
      <c r="BA7" s="17"/>
      <c r="BB7" s="16"/>
      <c r="BC7" s="16">
        <f t="shared" si="37"/>
        <v>0</v>
      </c>
      <c r="BD7" s="17"/>
      <c r="BE7" s="16"/>
      <c r="BF7" s="16">
        <f t="shared" si="38"/>
        <v>0</v>
      </c>
      <c r="BG7" s="17"/>
      <c r="BH7" s="16"/>
      <c r="BI7" s="16">
        <f t="shared" si="39"/>
        <v>0</v>
      </c>
      <c r="BJ7" s="17"/>
      <c r="BK7" s="16"/>
      <c r="BL7" s="16">
        <f t="shared" si="40"/>
        <v>0</v>
      </c>
      <c r="BM7" s="17"/>
      <c r="BN7" s="16"/>
      <c r="BO7" s="16">
        <f t="shared" si="41"/>
        <v>0</v>
      </c>
      <c r="BP7" s="17"/>
      <c r="BQ7" s="16"/>
      <c r="BR7" s="16">
        <f t="shared" si="42"/>
        <v>0</v>
      </c>
      <c r="BS7" s="17"/>
      <c r="BT7" s="16"/>
      <c r="BU7" s="16">
        <f t="shared" si="43"/>
        <v>0</v>
      </c>
      <c r="BV7" s="17"/>
      <c r="BW7" s="16"/>
      <c r="BX7" s="16">
        <f t="shared" si="44"/>
        <v>0</v>
      </c>
      <c r="BY7" s="17"/>
      <c r="BZ7" s="16"/>
      <c r="CA7" s="16">
        <f t="shared" si="45"/>
        <v>0</v>
      </c>
      <c r="CB7" s="17"/>
      <c r="CC7" s="16"/>
      <c r="CD7" s="16">
        <f t="shared" si="46"/>
        <v>0</v>
      </c>
      <c r="CE7" s="17"/>
      <c r="CF7" s="16"/>
      <c r="CG7" s="16">
        <f t="shared" si="47"/>
        <v>0</v>
      </c>
      <c r="CH7" s="17"/>
      <c r="CI7" s="16"/>
      <c r="CJ7" s="16">
        <f t="shared" si="48"/>
        <v>0</v>
      </c>
      <c r="CK7" s="17"/>
      <c r="CL7" s="16"/>
      <c r="CM7" s="16">
        <f t="shared" si="49"/>
        <v>0</v>
      </c>
      <c r="CN7" s="17"/>
      <c r="CO7" s="16"/>
      <c r="CP7" s="16">
        <f t="shared" si="50"/>
        <v>0</v>
      </c>
      <c r="CQ7" s="18">
        <f t="shared" si="51"/>
        <v>10</v>
      </c>
      <c r="CR7" s="18">
        <f t="shared" si="52"/>
        <v>0</v>
      </c>
      <c r="CS7" s="1"/>
      <c r="CT7" s="1"/>
    </row>
    <row r="8" ht="21" customHeight="1">
      <c r="A8" s="1"/>
      <c r="B8" s="21"/>
      <c r="C8" s="21"/>
      <c r="D8" s="14" t="s">
        <v>69</v>
      </c>
      <c r="E8" s="15" t="s">
        <v>70</v>
      </c>
      <c r="F8" s="15" t="s">
        <v>37</v>
      </c>
      <c r="G8" s="15" t="s">
        <v>71</v>
      </c>
      <c r="H8" s="15">
        <v>3</v>
      </c>
      <c r="I8" s="16"/>
      <c r="J8" s="16">
        <f t="shared" si="22"/>
        <v>3</v>
      </c>
      <c r="K8" s="17"/>
      <c r="L8" s="16"/>
      <c r="M8" s="16">
        <f t="shared" si="23"/>
        <v>3</v>
      </c>
      <c r="N8" s="17"/>
      <c r="O8" s="16"/>
      <c r="P8" s="16">
        <f t="shared" si="24"/>
        <v>3</v>
      </c>
      <c r="Q8" s="17"/>
      <c r="R8" s="16"/>
      <c r="S8" s="16">
        <f t="shared" si="25"/>
        <v>3</v>
      </c>
      <c r="T8" s="17"/>
      <c r="U8" s="16"/>
      <c r="V8" s="16">
        <f t="shared" si="26"/>
        <v>3</v>
      </c>
      <c r="W8" s="17"/>
      <c r="X8" s="16"/>
      <c r="Y8" s="16">
        <f t="shared" si="27"/>
        <v>3</v>
      </c>
      <c r="Z8" s="17"/>
      <c r="AA8" s="16"/>
      <c r="AB8" s="16">
        <f t="shared" si="28"/>
        <v>3</v>
      </c>
      <c r="AC8" s="17"/>
      <c r="AD8" s="16"/>
      <c r="AE8" s="16">
        <f t="shared" si="29"/>
        <v>3</v>
      </c>
      <c r="AF8" s="17"/>
      <c r="AG8" s="16"/>
      <c r="AH8" s="16">
        <f t="shared" si="30"/>
        <v>3</v>
      </c>
      <c r="AI8" s="17"/>
      <c r="AJ8" s="16"/>
      <c r="AK8" s="16">
        <f t="shared" si="31"/>
        <v>3</v>
      </c>
      <c r="AL8" s="17"/>
      <c r="AM8" s="16"/>
      <c r="AN8" s="16">
        <f t="shared" si="32"/>
        <v>3</v>
      </c>
      <c r="AO8" s="17"/>
      <c r="AP8" s="16"/>
      <c r="AQ8" s="16">
        <f t="shared" si="33"/>
        <v>3</v>
      </c>
      <c r="AR8" s="17"/>
      <c r="AS8" s="16"/>
      <c r="AT8" s="16">
        <f t="shared" si="34"/>
        <v>3</v>
      </c>
      <c r="AU8" s="17"/>
      <c r="AV8" s="15">
        <v>2</v>
      </c>
      <c r="AW8" s="16">
        <f t="shared" si="35"/>
        <v>1</v>
      </c>
      <c r="AX8" s="17"/>
      <c r="AY8" s="15">
        <v>1</v>
      </c>
      <c r="AZ8" s="16">
        <f t="shared" si="36"/>
        <v>0</v>
      </c>
      <c r="BA8" s="17"/>
      <c r="BB8" s="15"/>
      <c r="BC8" s="16">
        <f t="shared" si="37"/>
        <v>0</v>
      </c>
      <c r="BD8" s="17"/>
      <c r="BE8" s="16"/>
      <c r="BF8" s="16">
        <f t="shared" si="38"/>
        <v>0</v>
      </c>
      <c r="BG8" s="17"/>
      <c r="BH8" s="16"/>
      <c r="BI8" s="16">
        <f t="shared" si="39"/>
        <v>0</v>
      </c>
      <c r="BJ8" s="17"/>
      <c r="BK8" s="16"/>
      <c r="BL8" s="16">
        <f t="shared" si="40"/>
        <v>0</v>
      </c>
      <c r="BM8" s="17"/>
      <c r="BN8" s="16"/>
      <c r="BO8" s="16">
        <f t="shared" si="41"/>
        <v>0</v>
      </c>
      <c r="BP8" s="17"/>
      <c r="BQ8" s="16"/>
      <c r="BR8" s="16">
        <f t="shared" si="42"/>
        <v>0</v>
      </c>
      <c r="BS8" s="17"/>
      <c r="BT8" s="16"/>
      <c r="BU8" s="16">
        <f t="shared" si="43"/>
        <v>0</v>
      </c>
      <c r="BV8" s="17"/>
      <c r="BW8" s="16"/>
      <c r="BX8" s="16">
        <f t="shared" si="44"/>
        <v>0</v>
      </c>
      <c r="BY8" s="17"/>
      <c r="BZ8" s="16"/>
      <c r="CA8" s="16">
        <f t="shared" si="45"/>
        <v>0</v>
      </c>
      <c r="CB8" s="17"/>
      <c r="CC8" s="16"/>
      <c r="CD8" s="16">
        <f t="shared" si="46"/>
        <v>0</v>
      </c>
      <c r="CE8" s="17"/>
      <c r="CF8" s="16"/>
      <c r="CG8" s="16">
        <f t="shared" si="47"/>
        <v>0</v>
      </c>
      <c r="CH8" s="17"/>
      <c r="CI8" s="16"/>
      <c r="CJ8" s="16">
        <f t="shared" si="48"/>
        <v>0</v>
      </c>
      <c r="CK8" s="17"/>
      <c r="CL8" s="16"/>
      <c r="CM8" s="16">
        <f t="shared" si="49"/>
        <v>0</v>
      </c>
      <c r="CN8" s="17"/>
      <c r="CO8" s="16"/>
      <c r="CP8" s="16">
        <f t="shared" si="50"/>
        <v>0</v>
      </c>
      <c r="CQ8" s="18">
        <f t="shared" si="51"/>
        <v>3</v>
      </c>
      <c r="CR8" s="18">
        <f t="shared" si="52"/>
        <v>0</v>
      </c>
      <c r="CS8" s="1"/>
      <c r="CT8" s="1"/>
    </row>
    <row r="9" ht="55.5" customHeight="1">
      <c r="A9" s="1"/>
      <c r="B9" s="12" t="s">
        <v>72</v>
      </c>
      <c r="C9" s="13" t="s">
        <v>73</v>
      </c>
      <c r="D9" s="14" t="s">
        <v>74</v>
      </c>
      <c r="E9" s="15" t="s">
        <v>67</v>
      </c>
      <c r="F9" s="15" t="s">
        <v>37</v>
      </c>
      <c r="G9" s="15" t="s">
        <v>75</v>
      </c>
      <c r="H9" s="15">
        <v>2</v>
      </c>
      <c r="I9" s="16"/>
      <c r="J9" s="16">
        <f t="shared" si="22"/>
        <v>2</v>
      </c>
      <c r="K9" s="17"/>
      <c r="L9" s="16"/>
      <c r="M9" s="16">
        <f t="shared" si="23"/>
        <v>2</v>
      </c>
      <c r="N9" s="17"/>
      <c r="O9" s="15">
        <v>1</v>
      </c>
      <c r="P9" s="16">
        <f t="shared" si="24"/>
        <v>1</v>
      </c>
      <c r="Q9" s="17"/>
      <c r="R9" s="15">
        <v>1</v>
      </c>
      <c r="S9" s="16">
        <f t="shared" si="25"/>
        <v>0</v>
      </c>
      <c r="T9" s="17"/>
      <c r="U9" s="16"/>
      <c r="V9" s="16">
        <f t="shared" si="26"/>
        <v>0</v>
      </c>
      <c r="W9" s="17"/>
      <c r="X9" s="16"/>
      <c r="Y9" s="16">
        <f t="shared" si="27"/>
        <v>0</v>
      </c>
      <c r="Z9" s="17"/>
      <c r="AA9" s="16"/>
      <c r="AB9" s="16">
        <f t="shared" si="28"/>
        <v>0</v>
      </c>
      <c r="AC9" s="17"/>
      <c r="AD9" s="16"/>
      <c r="AE9" s="16">
        <f t="shared" si="29"/>
        <v>0</v>
      </c>
      <c r="AF9" s="17"/>
      <c r="AG9" s="16"/>
      <c r="AH9" s="16">
        <f t="shared" si="30"/>
        <v>0</v>
      </c>
      <c r="AI9" s="17"/>
      <c r="AJ9" s="16"/>
      <c r="AK9" s="16">
        <f t="shared" si="31"/>
        <v>0</v>
      </c>
      <c r="AL9" s="17"/>
      <c r="AM9" s="16"/>
      <c r="AN9" s="16">
        <f t="shared" si="32"/>
        <v>0</v>
      </c>
      <c r="AO9" s="17"/>
      <c r="AP9" s="16"/>
      <c r="AQ9" s="16">
        <f t="shared" si="33"/>
        <v>0</v>
      </c>
      <c r="AR9" s="17"/>
      <c r="AS9" s="16"/>
      <c r="AT9" s="16">
        <f t="shared" si="34"/>
        <v>0</v>
      </c>
      <c r="AU9" s="17"/>
      <c r="AV9" s="16"/>
      <c r="AW9" s="16">
        <f t="shared" si="35"/>
        <v>0</v>
      </c>
      <c r="AX9" s="17"/>
      <c r="AY9" s="16"/>
      <c r="AZ9" s="16">
        <f t="shared" si="36"/>
        <v>0</v>
      </c>
      <c r="BA9" s="17"/>
      <c r="BB9" s="16"/>
      <c r="BC9" s="16">
        <f t="shared" si="37"/>
        <v>0</v>
      </c>
      <c r="BD9" s="17"/>
      <c r="BE9" s="16"/>
      <c r="BF9" s="16">
        <f t="shared" si="38"/>
        <v>0</v>
      </c>
      <c r="BG9" s="17"/>
      <c r="BH9" s="16"/>
      <c r="BI9" s="16">
        <f t="shared" si="39"/>
        <v>0</v>
      </c>
      <c r="BJ9" s="17"/>
      <c r="BK9" s="16"/>
      <c r="BL9" s="16">
        <f t="shared" si="40"/>
        <v>0</v>
      </c>
      <c r="BM9" s="17"/>
      <c r="BN9" s="16"/>
      <c r="BO9" s="16">
        <f t="shared" si="41"/>
        <v>0</v>
      </c>
      <c r="BP9" s="17"/>
      <c r="BQ9" s="16"/>
      <c r="BR9" s="16">
        <f t="shared" si="42"/>
        <v>0</v>
      </c>
      <c r="BS9" s="17"/>
      <c r="BT9" s="16"/>
      <c r="BU9" s="16">
        <f t="shared" si="43"/>
        <v>0</v>
      </c>
      <c r="BV9" s="17"/>
      <c r="BW9" s="16"/>
      <c r="BX9" s="16">
        <f t="shared" si="44"/>
        <v>0</v>
      </c>
      <c r="BY9" s="17"/>
      <c r="BZ9" s="16"/>
      <c r="CA9" s="16">
        <f t="shared" si="45"/>
        <v>0</v>
      </c>
      <c r="CB9" s="17"/>
      <c r="CC9" s="16"/>
      <c r="CD9" s="16">
        <f t="shared" si="46"/>
        <v>0</v>
      </c>
      <c r="CE9" s="17"/>
      <c r="CF9" s="16"/>
      <c r="CG9" s="16">
        <f t="shared" si="47"/>
        <v>0</v>
      </c>
      <c r="CH9" s="17"/>
      <c r="CI9" s="16"/>
      <c r="CJ9" s="16">
        <f t="shared" si="48"/>
        <v>0</v>
      </c>
      <c r="CK9" s="17"/>
      <c r="CL9" s="16"/>
      <c r="CM9" s="16">
        <f t="shared" si="49"/>
        <v>0</v>
      </c>
      <c r="CN9" s="17"/>
      <c r="CO9" s="16"/>
      <c r="CP9" s="16">
        <f t="shared" si="50"/>
        <v>0</v>
      </c>
      <c r="CQ9" s="18">
        <f t="shared" si="51"/>
        <v>2</v>
      </c>
      <c r="CR9" s="18">
        <f t="shared" si="52"/>
        <v>0</v>
      </c>
      <c r="CS9" s="1"/>
      <c r="CT9" s="1"/>
    </row>
    <row r="10" ht="40.5" customHeight="1">
      <c r="A10" s="1"/>
      <c r="B10" s="19"/>
      <c r="C10" s="19"/>
      <c r="D10" s="14" t="s">
        <v>76</v>
      </c>
      <c r="E10" s="15" t="s">
        <v>67</v>
      </c>
      <c r="F10" s="15" t="s">
        <v>77</v>
      </c>
      <c r="G10" s="15" t="s">
        <v>78</v>
      </c>
      <c r="H10" s="15">
        <v>2</v>
      </c>
      <c r="I10" s="16"/>
      <c r="J10" s="16">
        <f t="shared" si="22"/>
        <v>2</v>
      </c>
      <c r="K10" s="17"/>
      <c r="L10" s="16"/>
      <c r="M10" s="16">
        <f t="shared" si="23"/>
        <v>2</v>
      </c>
      <c r="N10" s="17"/>
      <c r="O10" s="16"/>
      <c r="P10" s="16">
        <f t="shared" si="24"/>
        <v>2</v>
      </c>
      <c r="Q10" s="17"/>
      <c r="R10" s="16"/>
      <c r="S10" s="16">
        <f t="shared" si="25"/>
        <v>2</v>
      </c>
      <c r="T10" s="17"/>
      <c r="U10" s="16"/>
      <c r="V10" s="16">
        <f t="shared" si="26"/>
        <v>2</v>
      </c>
      <c r="W10" s="17"/>
      <c r="X10" s="16"/>
      <c r="Y10" s="16">
        <f t="shared" si="27"/>
        <v>2</v>
      </c>
      <c r="Z10" s="17"/>
      <c r="AA10" s="16"/>
      <c r="AB10" s="16">
        <f t="shared" si="28"/>
        <v>2</v>
      </c>
      <c r="AC10" s="17"/>
      <c r="AD10" s="16"/>
      <c r="AE10" s="16">
        <f t="shared" si="29"/>
        <v>2</v>
      </c>
      <c r="AF10" s="17"/>
      <c r="AG10" s="16"/>
      <c r="AH10" s="16">
        <f t="shared" si="30"/>
        <v>2</v>
      </c>
      <c r="AI10" s="17"/>
      <c r="AJ10" s="16"/>
      <c r="AK10" s="16">
        <f t="shared" si="31"/>
        <v>2</v>
      </c>
      <c r="AL10" s="17"/>
      <c r="AM10" s="16"/>
      <c r="AN10" s="16">
        <f t="shared" si="32"/>
        <v>2</v>
      </c>
      <c r="AO10" s="17"/>
      <c r="AP10" s="16"/>
      <c r="AQ10" s="16">
        <f t="shared" si="33"/>
        <v>2</v>
      </c>
      <c r="AR10" s="17"/>
      <c r="AS10" s="16"/>
      <c r="AT10" s="16">
        <f t="shared" si="34"/>
        <v>2</v>
      </c>
      <c r="AU10" s="17"/>
      <c r="AV10" s="16"/>
      <c r="AW10" s="16">
        <f t="shared" si="35"/>
        <v>2</v>
      </c>
      <c r="AX10" s="17"/>
      <c r="AY10" s="16"/>
      <c r="AZ10" s="16">
        <f t="shared" si="36"/>
        <v>2</v>
      </c>
      <c r="BA10" s="17"/>
      <c r="BB10" s="16"/>
      <c r="BC10" s="16">
        <f t="shared" si="37"/>
        <v>2</v>
      </c>
      <c r="BD10" s="17"/>
      <c r="BE10" s="16"/>
      <c r="BF10" s="16">
        <f t="shared" si="38"/>
        <v>2</v>
      </c>
      <c r="BG10" s="17"/>
      <c r="BH10" s="16"/>
      <c r="BI10" s="16">
        <f t="shared" si="39"/>
        <v>2</v>
      </c>
      <c r="BJ10" s="17"/>
      <c r="BK10" s="16"/>
      <c r="BL10" s="16">
        <f t="shared" si="40"/>
        <v>2</v>
      </c>
      <c r="BM10" s="17"/>
      <c r="BN10" s="16"/>
      <c r="BO10" s="16">
        <f t="shared" si="41"/>
        <v>2</v>
      </c>
      <c r="BP10" s="17"/>
      <c r="BQ10" s="15"/>
      <c r="BR10" s="16">
        <f t="shared" si="42"/>
        <v>2</v>
      </c>
      <c r="BS10" s="17"/>
      <c r="BT10" s="16"/>
      <c r="BU10" s="16">
        <f t="shared" si="43"/>
        <v>2</v>
      </c>
      <c r="BV10" s="17"/>
      <c r="BW10" s="16"/>
      <c r="BX10" s="16">
        <f t="shared" si="44"/>
        <v>2</v>
      </c>
      <c r="BY10" s="17"/>
      <c r="BZ10" s="16"/>
      <c r="CA10" s="16">
        <f t="shared" si="45"/>
        <v>2</v>
      </c>
      <c r="CB10" s="17"/>
      <c r="CC10" s="16"/>
      <c r="CD10" s="16">
        <f t="shared" si="46"/>
        <v>2</v>
      </c>
      <c r="CE10" s="17"/>
      <c r="CF10" s="16"/>
      <c r="CG10" s="16">
        <f t="shared" si="47"/>
        <v>2</v>
      </c>
      <c r="CH10" s="17"/>
      <c r="CI10" s="16"/>
      <c r="CJ10" s="16">
        <f t="shared" si="48"/>
        <v>2</v>
      </c>
      <c r="CK10" s="17"/>
      <c r="CL10" s="16"/>
      <c r="CM10" s="16">
        <f t="shared" si="49"/>
        <v>2</v>
      </c>
      <c r="CN10" s="17"/>
      <c r="CO10" s="16"/>
      <c r="CP10" s="16">
        <f t="shared" si="50"/>
        <v>2</v>
      </c>
      <c r="CQ10" s="18">
        <f t="shared" si="51"/>
        <v>0</v>
      </c>
      <c r="CR10" s="18">
        <f t="shared" si="52"/>
        <v>2</v>
      </c>
      <c r="CS10" s="1"/>
      <c r="CT10" s="1"/>
    </row>
    <row r="11" ht="40.5" customHeight="1">
      <c r="A11" s="1"/>
      <c r="B11" s="19"/>
      <c r="C11" s="19"/>
      <c r="D11" s="14" t="s">
        <v>79</v>
      </c>
      <c r="E11" s="15" t="s">
        <v>67</v>
      </c>
      <c r="F11" s="15" t="s">
        <v>80</v>
      </c>
      <c r="G11" s="15" t="s">
        <v>81</v>
      </c>
      <c r="H11" s="15">
        <v>3</v>
      </c>
      <c r="I11" s="16"/>
      <c r="J11" s="16">
        <f t="shared" si="22"/>
        <v>3</v>
      </c>
      <c r="K11" s="17"/>
      <c r="L11" s="16"/>
      <c r="M11" s="16">
        <f t="shared" si="23"/>
        <v>3</v>
      </c>
      <c r="N11" s="17"/>
      <c r="O11" s="16"/>
      <c r="P11" s="16">
        <f t="shared" si="24"/>
        <v>3</v>
      </c>
      <c r="Q11" s="17"/>
      <c r="R11" s="16"/>
      <c r="S11" s="16">
        <f t="shared" si="25"/>
        <v>3</v>
      </c>
      <c r="T11" s="17"/>
      <c r="U11" s="16"/>
      <c r="V11" s="16">
        <f t="shared" si="26"/>
        <v>3</v>
      </c>
      <c r="W11" s="17"/>
      <c r="X11" s="16"/>
      <c r="Y11" s="16">
        <f t="shared" si="27"/>
        <v>3</v>
      </c>
      <c r="Z11" s="17"/>
      <c r="AA11" s="16"/>
      <c r="AB11" s="16">
        <f t="shared" si="28"/>
        <v>3</v>
      </c>
      <c r="AC11" s="17"/>
      <c r="AD11" s="16"/>
      <c r="AE11" s="16">
        <f t="shared" si="29"/>
        <v>3</v>
      </c>
      <c r="AF11" s="17"/>
      <c r="AG11" s="16"/>
      <c r="AH11" s="16">
        <f t="shared" si="30"/>
        <v>3</v>
      </c>
      <c r="AI11" s="17"/>
      <c r="AJ11" s="16"/>
      <c r="AK11" s="16">
        <f t="shared" si="31"/>
        <v>3</v>
      </c>
      <c r="AL11" s="17"/>
      <c r="AM11" s="16"/>
      <c r="AN11" s="16">
        <f t="shared" si="32"/>
        <v>3</v>
      </c>
      <c r="AO11" s="17"/>
      <c r="AP11" s="16"/>
      <c r="AQ11" s="16">
        <f t="shared" si="33"/>
        <v>3</v>
      </c>
      <c r="AR11" s="17"/>
      <c r="AS11" s="16"/>
      <c r="AT11" s="16">
        <f t="shared" si="34"/>
        <v>3</v>
      </c>
      <c r="AU11" s="17"/>
      <c r="AV11" s="16"/>
      <c r="AW11" s="16">
        <f t="shared" si="35"/>
        <v>3</v>
      </c>
      <c r="AX11" s="17"/>
      <c r="AY11" s="16"/>
      <c r="AZ11" s="16">
        <f t="shared" si="36"/>
        <v>3</v>
      </c>
      <c r="BA11" s="17"/>
      <c r="BB11" s="16"/>
      <c r="BC11" s="16">
        <f t="shared" si="37"/>
        <v>3</v>
      </c>
      <c r="BD11" s="17"/>
      <c r="BE11" s="16"/>
      <c r="BF11" s="16">
        <f t="shared" si="38"/>
        <v>3</v>
      </c>
      <c r="BG11" s="17"/>
      <c r="BH11" s="16"/>
      <c r="BI11" s="16">
        <f t="shared" si="39"/>
        <v>3</v>
      </c>
      <c r="BJ11" s="17"/>
      <c r="BK11" s="16"/>
      <c r="BL11" s="16">
        <f t="shared" si="40"/>
        <v>3</v>
      </c>
      <c r="BM11" s="17"/>
      <c r="BN11" s="16"/>
      <c r="BO11" s="16">
        <f t="shared" si="41"/>
        <v>3</v>
      </c>
      <c r="BP11" s="17"/>
      <c r="BQ11" s="15"/>
      <c r="BR11" s="16">
        <f t="shared" si="42"/>
        <v>3</v>
      </c>
      <c r="BS11" s="17"/>
      <c r="BT11" s="16"/>
      <c r="BU11" s="16">
        <f t="shared" si="43"/>
        <v>3</v>
      </c>
      <c r="BV11" s="17"/>
      <c r="BW11" s="16"/>
      <c r="BX11" s="16">
        <f t="shared" si="44"/>
        <v>3</v>
      </c>
      <c r="BY11" s="17"/>
      <c r="BZ11" s="16"/>
      <c r="CA11" s="16">
        <f t="shared" si="45"/>
        <v>3</v>
      </c>
      <c r="CB11" s="17"/>
      <c r="CC11" s="16"/>
      <c r="CD11" s="16">
        <f t="shared" si="46"/>
        <v>3</v>
      </c>
      <c r="CE11" s="17"/>
      <c r="CF11" s="16"/>
      <c r="CG11" s="16">
        <f t="shared" si="47"/>
        <v>3</v>
      </c>
      <c r="CH11" s="17"/>
      <c r="CI11" s="16"/>
      <c r="CJ11" s="16">
        <f t="shared" si="48"/>
        <v>3</v>
      </c>
      <c r="CK11" s="17"/>
      <c r="CL11" s="16"/>
      <c r="CM11" s="16">
        <f t="shared" si="49"/>
        <v>3</v>
      </c>
      <c r="CN11" s="17"/>
      <c r="CO11" s="16"/>
      <c r="CP11" s="16">
        <f t="shared" si="50"/>
        <v>3</v>
      </c>
      <c r="CQ11" s="18">
        <f t="shared" si="51"/>
        <v>0</v>
      </c>
      <c r="CR11" s="18">
        <f t="shared" si="52"/>
        <v>3</v>
      </c>
      <c r="CS11" s="1"/>
      <c r="CT11" s="1"/>
    </row>
    <row r="12" ht="40.5" customHeight="1">
      <c r="A12" s="1"/>
      <c r="B12" s="19"/>
      <c r="C12" s="19"/>
      <c r="D12" s="26" t="s">
        <v>82</v>
      </c>
      <c r="E12" s="15" t="s">
        <v>70</v>
      </c>
      <c r="F12" s="15" t="s">
        <v>80</v>
      </c>
      <c r="G12" s="15" t="s">
        <v>83</v>
      </c>
      <c r="H12" s="15">
        <v>4</v>
      </c>
      <c r="I12" s="16"/>
      <c r="J12" s="16">
        <f t="shared" si="22"/>
        <v>4</v>
      </c>
      <c r="K12" s="17"/>
      <c r="L12" s="16"/>
      <c r="M12" s="16">
        <f t="shared" si="23"/>
        <v>4</v>
      </c>
      <c r="N12" s="17"/>
      <c r="O12" s="16"/>
      <c r="P12" s="16">
        <f t="shared" si="24"/>
        <v>4</v>
      </c>
      <c r="Q12" s="17"/>
      <c r="R12" s="16"/>
      <c r="S12" s="16">
        <f t="shared" si="25"/>
        <v>4</v>
      </c>
      <c r="T12" s="17"/>
      <c r="U12" s="16"/>
      <c r="V12" s="16">
        <f t="shared" si="26"/>
        <v>4</v>
      </c>
      <c r="W12" s="17"/>
      <c r="X12" s="16"/>
      <c r="Y12" s="16">
        <f t="shared" si="27"/>
        <v>4</v>
      </c>
      <c r="Z12" s="17"/>
      <c r="AA12" s="16"/>
      <c r="AB12" s="16">
        <f t="shared" si="28"/>
        <v>4</v>
      </c>
      <c r="AC12" s="17"/>
      <c r="AD12" s="16"/>
      <c r="AE12" s="16">
        <f t="shared" si="29"/>
        <v>4</v>
      </c>
      <c r="AF12" s="17"/>
      <c r="AG12" s="16"/>
      <c r="AH12" s="16">
        <f t="shared" si="30"/>
        <v>4</v>
      </c>
      <c r="AI12" s="17"/>
      <c r="AJ12" s="16"/>
      <c r="AK12" s="16">
        <f t="shared" si="31"/>
        <v>4</v>
      </c>
      <c r="AL12" s="17"/>
      <c r="AM12" s="16"/>
      <c r="AN12" s="16">
        <f t="shared" si="32"/>
        <v>4</v>
      </c>
      <c r="AO12" s="17"/>
      <c r="AP12" s="16"/>
      <c r="AQ12" s="16">
        <f t="shared" si="33"/>
        <v>4</v>
      </c>
      <c r="AR12" s="17"/>
      <c r="AS12" s="16"/>
      <c r="AT12" s="16">
        <f t="shared" si="34"/>
        <v>4</v>
      </c>
      <c r="AU12" s="17"/>
      <c r="AV12" s="16"/>
      <c r="AW12" s="16">
        <f t="shared" si="35"/>
        <v>4</v>
      </c>
      <c r="AX12" s="17"/>
      <c r="AY12" s="16"/>
      <c r="AZ12" s="16">
        <f t="shared" si="36"/>
        <v>4</v>
      </c>
      <c r="BA12" s="17"/>
      <c r="BB12" s="16"/>
      <c r="BC12" s="16">
        <f t="shared" si="37"/>
        <v>4</v>
      </c>
      <c r="BD12" s="17"/>
      <c r="BE12" s="16"/>
      <c r="BF12" s="16">
        <f t="shared" si="38"/>
        <v>4</v>
      </c>
      <c r="BG12" s="17"/>
      <c r="BH12" s="16"/>
      <c r="BI12" s="16">
        <f t="shared" si="39"/>
        <v>4</v>
      </c>
      <c r="BJ12" s="17"/>
      <c r="BK12" s="16"/>
      <c r="BL12" s="16">
        <f t="shared" si="40"/>
        <v>4</v>
      </c>
      <c r="BM12" s="17"/>
      <c r="BN12" s="16"/>
      <c r="BO12" s="16">
        <f t="shared" si="41"/>
        <v>4</v>
      </c>
      <c r="BP12" s="17"/>
      <c r="BQ12" s="15"/>
      <c r="BR12" s="16">
        <f t="shared" si="42"/>
        <v>4</v>
      </c>
      <c r="BS12" s="17"/>
      <c r="BT12" s="16"/>
      <c r="BU12" s="16">
        <f t="shared" si="43"/>
        <v>4</v>
      </c>
      <c r="BV12" s="17"/>
      <c r="BW12" s="16"/>
      <c r="BX12" s="16">
        <f t="shared" si="44"/>
        <v>4</v>
      </c>
      <c r="BY12" s="17"/>
      <c r="BZ12" s="16"/>
      <c r="CA12" s="16">
        <f t="shared" si="45"/>
        <v>4</v>
      </c>
      <c r="CB12" s="17"/>
      <c r="CC12" s="16"/>
      <c r="CD12" s="16">
        <f t="shared" si="46"/>
        <v>4</v>
      </c>
      <c r="CE12" s="17"/>
      <c r="CF12" s="16"/>
      <c r="CG12" s="16">
        <f t="shared" si="47"/>
        <v>4</v>
      </c>
      <c r="CH12" s="17"/>
      <c r="CI12" s="16"/>
      <c r="CJ12" s="16">
        <f t="shared" si="48"/>
        <v>4</v>
      </c>
      <c r="CK12" s="17"/>
      <c r="CL12" s="16"/>
      <c r="CM12" s="16">
        <f t="shared" si="49"/>
        <v>4</v>
      </c>
      <c r="CN12" s="17"/>
      <c r="CO12" s="16"/>
      <c r="CP12" s="16">
        <f t="shared" si="50"/>
        <v>4</v>
      </c>
      <c r="CQ12" s="18">
        <f t="shared" si="51"/>
        <v>0</v>
      </c>
      <c r="CR12" s="18">
        <f t="shared" si="52"/>
        <v>4</v>
      </c>
      <c r="CS12" s="1"/>
      <c r="CT12" s="1"/>
    </row>
    <row r="13" ht="40.5" customHeight="1">
      <c r="A13" s="1"/>
      <c r="B13" s="19"/>
      <c r="C13" s="19"/>
      <c r="D13" s="26" t="s">
        <v>84</v>
      </c>
      <c r="E13" s="15" t="s">
        <v>67</v>
      </c>
      <c r="F13" s="15" t="s">
        <v>80</v>
      </c>
      <c r="G13" s="15" t="s">
        <v>85</v>
      </c>
      <c r="H13" s="15">
        <v>2</v>
      </c>
      <c r="I13" s="16"/>
      <c r="J13" s="16">
        <f t="shared" si="22"/>
        <v>2</v>
      </c>
      <c r="K13" s="17"/>
      <c r="L13" s="16"/>
      <c r="M13" s="16">
        <f t="shared" si="23"/>
        <v>2</v>
      </c>
      <c r="N13" s="17"/>
      <c r="O13" s="16"/>
      <c r="P13" s="16">
        <f t="shared" si="24"/>
        <v>2</v>
      </c>
      <c r="Q13" s="17"/>
      <c r="R13" s="16"/>
      <c r="S13" s="16">
        <f t="shared" si="25"/>
        <v>2</v>
      </c>
      <c r="T13" s="17"/>
      <c r="U13" s="16"/>
      <c r="V13" s="16">
        <f t="shared" si="26"/>
        <v>2</v>
      </c>
      <c r="W13" s="17"/>
      <c r="X13" s="16"/>
      <c r="Y13" s="16">
        <f t="shared" si="27"/>
        <v>2</v>
      </c>
      <c r="Z13" s="17"/>
      <c r="AA13" s="16"/>
      <c r="AB13" s="16">
        <f t="shared" si="28"/>
        <v>2</v>
      </c>
      <c r="AC13" s="17"/>
      <c r="AD13" s="16"/>
      <c r="AE13" s="16">
        <f t="shared" si="29"/>
        <v>2</v>
      </c>
      <c r="AF13" s="17"/>
      <c r="AG13" s="16"/>
      <c r="AH13" s="16">
        <f t="shared" si="30"/>
        <v>2</v>
      </c>
      <c r="AI13" s="17"/>
      <c r="AJ13" s="16"/>
      <c r="AK13" s="16">
        <f t="shared" si="31"/>
        <v>2</v>
      </c>
      <c r="AL13" s="17"/>
      <c r="AM13" s="16"/>
      <c r="AN13" s="16">
        <f t="shared" si="32"/>
        <v>2</v>
      </c>
      <c r="AO13" s="17"/>
      <c r="AP13" s="16"/>
      <c r="AQ13" s="16">
        <f t="shared" si="33"/>
        <v>2</v>
      </c>
      <c r="AR13" s="17"/>
      <c r="AS13" s="16"/>
      <c r="AT13" s="16">
        <f t="shared" si="34"/>
        <v>2</v>
      </c>
      <c r="AU13" s="17"/>
      <c r="AV13" s="16"/>
      <c r="AW13" s="16">
        <f t="shared" si="35"/>
        <v>2</v>
      </c>
      <c r="AX13" s="17"/>
      <c r="AY13" s="16"/>
      <c r="AZ13" s="16">
        <f t="shared" si="36"/>
        <v>2</v>
      </c>
      <c r="BA13" s="17"/>
      <c r="BB13" s="16"/>
      <c r="BC13" s="16">
        <f t="shared" si="37"/>
        <v>2</v>
      </c>
      <c r="BD13" s="17"/>
      <c r="BE13" s="16"/>
      <c r="BF13" s="16">
        <f t="shared" si="38"/>
        <v>2</v>
      </c>
      <c r="BG13" s="17"/>
      <c r="BH13" s="16"/>
      <c r="BI13" s="16">
        <f t="shared" si="39"/>
        <v>2</v>
      </c>
      <c r="BJ13" s="17"/>
      <c r="BK13" s="16"/>
      <c r="BL13" s="16">
        <f t="shared" si="40"/>
        <v>2</v>
      </c>
      <c r="BM13" s="17"/>
      <c r="BN13" s="16"/>
      <c r="BO13" s="16">
        <f t="shared" si="41"/>
        <v>2</v>
      </c>
      <c r="BP13" s="17"/>
      <c r="BQ13" s="15"/>
      <c r="BR13" s="16">
        <f t="shared" si="42"/>
        <v>2</v>
      </c>
      <c r="BS13" s="17"/>
      <c r="BT13" s="16"/>
      <c r="BU13" s="16">
        <f t="shared" si="43"/>
        <v>2</v>
      </c>
      <c r="BV13" s="17"/>
      <c r="BW13" s="16"/>
      <c r="BX13" s="16">
        <f t="shared" si="44"/>
        <v>2</v>
      </c>
      <c r="BY13" s="17"/>
      <c r="BZ13" s="16"/>
      <c r="CA13" s="16">
        <f t="shared" si="45"/>
        <v>2</v>
      </c>
      <c r="CB13" s="17"/>
      <c r="CC13" s="16"/>
      <c r="CD13" s="16">
        <f t="shared" si="46"/>
        <v>2</v>
      </c>
      <c r="CE13" s="17"/>
      <c r="CF13" s="16"/>
      <c r="CG13" s="16">
        <f t="shared" si="47"/>
        <v>2</v>
      </c>
      <c r="CH13" s="17"/>
      <c r="CI13" s="16"/>
      <c r="CJ13" s="16">
        <f t="shared" si="48"/>
        <v>2</v>
      </c>
      <c r="CK13" s="17"/>
      <c r="CL13" s="16"/>
      <c r="CM13" s="16">
        <f t="shared" si="49"/>
        <v>2</v>
      </c>
      <c r="CN13" s="17"/>
      <c r="CO13" s="16"/>
      <c r="CP13" s="16">
        <f t="shared" si="50"/>
        <v>2</v>
      </c>
      <c r="CQ13" s="18">
        <f t="shared" si="51"/>
        <v>0</v>
      </c>
      <c r="CR13" s="18">
        <f t="shared" si="52"/>
        <v>2</v>
      </c>
      <c r="CS13" s="1"/>
      <c r="CT13" s="1"/>
    </row>
    <row r="14" ht="40.5" customHeight="1">
      <c r="A14" s="1"/>
      <c r="B14" s="19"/>
      <c r="C14" s="19"/>
      <c r="D14" s="26" t="s">
        <v>86</v>
      </c>
      <c r="E14" s="15" t="s">
        <v>70</v>
      </c>
      <c r="F14" s="15" t="s">
        <v>80</v>
      </c>
      <c r="G14" s="15" t="s">
        <v>87</v>
      </c>
      <c r="H14" s="15">
        <v>2</v>
      </c>
      <c r="I14" s="16"/>
      <c r="J14" s="16">
        <f t="shared" si="22"/>
        <v>2</v>
      </c>
      <c r="K14" s="17"/>
      <c r="L14" s="16"/>
      <c r="M14" s="16">
        <f t="shared" si="23"/>
        <v>2</v>
      </c>
      <c r="N14" s="17"/>
      <c r="O14" s="16"/>
      <c r="P14" s="16">
        <f t="shared" si="24"/>
        <v>2</v>
      </c>
      <c r="Q14" s="17"/>
      <c r="R14" s="16"/>
      <c r="S14" s="16">
        <f t="shared" si="25"/>
        <v>2</v>
      </c>
      <c r="T14" s="17"/>
      <c r="U14" s="16"/>
      <c r="V14" s="16">
        <f t="shared" si="26"/>
        <v>2</v>
      </c>
      <c r="W14" s="17"/>
      <c r="X14" s="16"/>
      <c r="Y14" s="16">
        <f t="shared" si="27"/>
        <v>2</v>
      </c>
      <c r="Z14" s="17"/>
      <c r="AA14" s="16"/>
      <c r="AB14" s="16">
        <f t="shared" si="28"/>
        <v>2</v>
      </c>
      <c r="AC14" s="17"/>
      <c r="AD14" s="16"/>
      <c r="AE14" s="16">
        <f t="shared" si="29"/>
        <v>2</v>
      </c>
      <c r="AF14" s="17"/>
      <c r="AG14" s="16"/>
      <c r="AH14" s="16">
        <f t="shared" si="30"/>
        <v>2</v>
      </c>
      <c r="AI14" s="17"/>
      <c r="AJ14" s="16"/>
      <c r="AK14" s="16">
        <f t="shared" si="31"/>
        <v>2</v>
      </c>
      <c r="AL14" s="17"/>
      <c r="AM14" s="16"/>
      <c r="AN14" s="16">
        <f t="shared" si="32"/>
        <v>2</v>
      </c>
      <c r="AO14" s="17"/>
      <c r="AP14" s="16"/>
      <c r="AQ14" s="16">
        <f t="shared" si="33"/>
        <v>2</v>
      </c>
      <c r="AR14" s="17"/>
      <c r="AS14" s="16"/>
      <c r="AT14" s="16">
        <f t="shared" si="34"/>
        <v>2</v>
      </c>
      <c r="AU14" s="17"/>
      <c r="AV14" s="16"/>
      <c r="AW14" s="16">
        <f t="shared" si="35"/>
        <v>2</v>
      </c>
      <c r="AX14" s="17"/>
      <c r="AY14" s="16"/>
      <c r="AZ14" s="16">
        <f t="shared" si="36"/>
        <v>2</v>
      </c>
      <c r="BA14" s="17"/>
      <c r="BB14" s="16"/>
      <c r="BC14" s="16">
        <f t="shared" si="37"/>
        <v>2</v>
      </c>
      <c r="BD14" s="17"/>
      <c r="BE14" s="16"/>
      <c r="BF14" s="16">
        <f t="shared" si="38"/>
        <v>2</v>
      </c>
      <c r="BG14" s="17"/>
      <c r="BH14" s="16"/>
      <c r="BI14" s="16">
        <f t="shared" si="39"/>
        <v>2</v>
      </c>
      <c r="BJ14" s="17"/>
      <c r="BK14" s="16"/>
      <c r="BL14" s="16">
        <f t="shared" si="40"/>
        <v>2</v>
      </c>
      <c r="BM14" s="17"/>
      <c r="BN14" s="16"/>
      <c r="BO14" s="16">
        <f t="shared" si="41"/>
        <v>2</v>
      </c>
      <c r="BP14" s="17"/>
      <c r="BQ14" s="16"/>
      <c r="BR14" s="16">
        <f t="shared" si="42"/>
        <v>2</v>
      </c>
      <c r="BS14" s="17"/>
      <c r="BT14" s="16"/>
      <c r="BU14" s="16">
        <f t="shared" si="43"/>
        <v>2</v>
      </c>
      <c r="BV14" s="17"/>
      <c r="BW14" s="16"/>
      <c r="BX14" s="16">
        <f t="shared" si="44"/>
        <v>2</v>
      </c>
      <c r="BY14" s="17"/>
      <c r="BZ14" s="16"/>
      <c r="CA14" s="16">
        <f t="shared" si="45"/>
        <v>2</v>
      </c>
      <c r="CB14" s="17"/>
      <c r="CC14" s="16"/>
      <c r="CD14" s="16">
        <f t="shared" si="46"/>
        <v>2</v>
      </c>
      <c r="CE14" s="17"/>
      <c r="CF14" s="16"/>
      <c r="CG14" s="16">
        <f t="shared" si="47"/>
        <v>2</v>
      </c>
      <c r="CH14" s="17"/>
      <c r="CI14" s="16"/>
      <c r="CJ14" s="16">
        <f t="shared" si="48"/>
        <v>2</v>
      </c>
      <c r="CK14" s="17"/>
      <c r="CL14" s="16"/>
      <c r="CM14" s="16">
        <f t="shared" si="49"/>
        <v>2</v>
      </c>
      <c r="CN14" s="17"/>
      <c r="CO14" s="16"/>
      <c r="CP14" s="16">
        <f t="shared" si="50"/>
        <v>2</v>
      </c>
      <c r="CQ14" s="18">
        <f t="shared" si="51"/>
        <v>0</v>
      </c>
      <c r="CR14" s="18">
        <f t="shared" si="52"/>
        <v>2</v>
      </c>
      <c r="CS14" s="1"/>
      <c r="CT14" s="1"/>
    </row>
    <row r="15" ht="40.5" customHeight="1">
      <c r="A15" s="1"/>
      <c r="B15" s="21"/>
      <c r="C15" s="21"/>
      <c r="D15" s="26" t="s">
        <v>88</v>
      </c>
      <c r="E15" s="15" t="s">
        <v>36</v>
      </c>
      <c r="F15" s="15" t="s">
        <v>80</v>
      </c>
      <c r="G15" s="15" t="s">
        <v>89</v>
      </c>
      <c r="H15" s="15">
        <v>6</v>
      </c>
      <c r="I15" s="16"/>
      <c r="J15" s="16">
        <f t="shared" si="22"/>
        <v>6</v>
      </c>
      <c r="K15" s="17"/>
      <c r="L15" s="16"/>
      <c r="M15" s="16">
        <f t="shared" si="23"/>
        <v>6</v>
      </c>
      <c r="N15" s="17"/>
      <c r="O15" s="16"/>
      <c r="P15" s="16">
        <f t="shared" si="24"/>
        <v>6</v>
      </c>
      <c r="Q15" s="17"/>
      <c r="R15" s="16"/>
      <c r="S15" s="16">
        <f t="shared" si="25"/>
        <v>6</v>
      </c>
      <c r="T15" s="17"/>
      <c r="U15" s="16"/>
      <c r="V15" s="16">
        <f t="shared" si="26"/>
        <v>6</v>
      </c>
      <c r="W15" s="17"/>
      <c r="X15" s="16"/>
      <c r="Y15" s="16">
        <f t="shared" si="27"/>
        <v>6</v>
      </c>
      <c r="Z15" s="17"/>
      <c r="AA15" s="16"/>
      <c r="AB15" s="16">
        <f t="shared" si="28"/>
        <v>6</v>
      </c>
      <c r="AC15" s="17"/>
      <c r="AD15" s="16"/>
      <c r="AE15" s="16">
        <f t="shared" si="29"/>
        <v>6</v>
      </c>
      <c r="AF15" s="17"/>
      <c r="AG15" s="16"/>
      <c r="AH15" s="16">
        <f t="shared" si="30"/>
        <v>6</v>
      </c>
      <c r="AI15" s="17"/>
      <c r="AJ15" s="16"/>
      <c r="AK15" s="16">
        <f t="shared" si="31"/>
        <v>6</v>
      </c>
      <c r="AL15" s="17"/>
      <c r="AM15" s="16"/>
      <c r="AN15" s="16">
        <f t="shared" si="32"/>
        <v>6</v>
      </c>
      <c r="AO15" s="17"/>
      <c r="AP15" s="16"/>
      <c r="AQ15" s="16">
        <f t="shared" si="33"/>
        <v>6</v>
      </c>
      <c r="AR15" s="17"/>
      <c r="AS15" s="16"/>
      <c r="AT15" s="16">
        <f t="shared" si="34"/>
        <v>6</v>
      </c>
      <c r="AU15" s="17"/>
      <c r="AV15" s="16"/>
      <c r="AW15" s="16">
        <f t="shared" si="35"/>
        <v>6</v>
      </c>
      <c r="AX15" s="17"/>
      <c r="AY15" s="16"/>
      <c r="AZ15" s="16">
        <f t="shared" si="36"/>
        <v>6</v>
      </c>
      <c r="BA15" s="17"/>
      <c r="BB15" s="16"/>
      <c r="BC15" s="16">
        <f t="shared" si="37"/>
        <v>6</v>
      </c>
      <c r="BD15" s="17"/>
      <c r="BE15" s="16"/>
      <c r="BF15" s="16">
        <f t="shared" si="38"/>
        <v>6</v>
      </c>
      <c r="BG15" s="17"/>
      <c r="BH15" s="16"/>
      <c r="BI15" s="16">
        <f t="shared" si="39"/>
        <v>6</v>
      </c>
      <c r="BJ15" s="17"/>
      <c r="BK15" s="16"/>
      <c r="BL15" s="16">
        <f t="shared" si="40"/>
        <v>6</v>
      </c>
      <c r="BM15" s="17"/>
      <c r="BN15" s="16"/>
      <c r="BO15" s="16">
        <f t="shared" si="41"/>
        <v>6</v>
      </c>
      <c r="BP15" s="17"/>
      <c r="BQ15" s="16"/>
      <c r="BR15" s="16">
        <f t="shared" si="42"/>
        <v>6</v>
      </c>
      <c r="BS15" s="17"/>
      <c r="BT15" s="16"/>
      <c r="BU15" s="16">
        <f t="shared" si="43"/>
        <v>6</v>
      </c>
      <c r="BV15" s="17"/>
      <c r="BW15" s="16"/>
      <c r="BX15" s="16">
        <f t="shared" si="44"/>
        <v>6</v>
      </c>
      <c r="BY15" s="17"/>
      <c r="BZ15" s="16"/>
      <c r="CA15" s="16">
        <f t="shared" si="45"/>
        <v>6</v>
      </c>
      <c r="CB15" s="17"/>
      <c r="CC15" s="16"/>
      <c r="CD15" s="16">
        <f t="shared" si="46"/>
        <v>6</v>
      </c>
      <c r="CE15" s="17"/>
      <c r="CF15" s="16"/>
      <c r="CG15" s="16">
        <f t="shared" si="47"/>
        <v>6</v>
      </c>
      <c r="CH15" s="17"/>
      <c r="CI15" s="16"/>
      <c r="CJ15" s="16">
        <f t="shared" si="48"/>
        <v>6</v>
      </c>
      <c r="CK15" s="17"/>
      <c r="CL15" s="16"/>
      <c r="CM15" s="16">
        <f t="shared" si="49"/>
        <v>6</v>
      </c>
      <c r="CN15" s="17"/>
      <c r="CO15" s="16"/>
      <c r="CP15" s="16">
        <f t="shared" si="50"/>
        <v>6</v>
      </c>
      <c r="CQ15" s="18">
        <f t="shared" si="51"/>
        <v>0</v>
      </c>
      <c r="CR15" s="18">
        <f t="shared" si="52"/>
        <v>6</v>
      </c>
      <c r="CS15" s="1"/>
      <c r="CT15" s="1"/>
    </row>
    <row r="16" ht="57" customHeight="1">
      <c r="A16" s="1"/>
      <c r="B16" s="12" t="s">
        <v>90</v>
      </c>
      <c r="C16" s="13" t="s">
        <v>91</v>
      </c>
      <c r="D16" s="26" t="s">
        <v>92</v>
      </c>
      <c r="E16" s="15" t="s">
        <v>70</v>
      </c>
      <c r="F16" s="15" t="s">
        <v>80</v>
      </c>
      <c r="G16" s="15" t="s">
        <v>93</v>
      </c>
      <c r="H16" s="15">
        <v>6</v>
      </c>
      <c r="I16" s="16"/>
      <c r="J16" s="16">
        <f t="shared" si="22"/>
        <v>6</v>
      </c>
      <c r="K16" s="17"/>
      <c r="L16" s="16"/>
      <c r="M16" s="16">
        <f t="shared" si="23"/>
        <v>6</v>
      </c>
      <c r="N16" s="17"/>
      <c r="O16" s="16"/>
      <c r="P16" s="16">
        <f t="shared" si="24"/>
        <v>6</v>
      </c>
      <c r="Q16" s="17"/>
      <c r="R16" s="16"/>
      <c r="S16" s="16">
        <f t="shared" si="25"/>
        <v>6</v>
      </c>
      <c r="T16" s="17"/>
      <c r="U16" s="16"/>
      <c r="V16" s="16">
        <f t="shared" si="26"/>
        <v>6</v>
      </c>
      <c r="W16" s="17"/>
      <c r="X16" s="16"/>
      <c r="Y16" s="16">
        <f t="shared" si="27"/>
        <v>6</v>
      </c>
      <c r="Z16" s="17"/>
      <c r="AA16" s="16"/>
      <c r="AB16" s="16">
        <f t="shared" si="28"/>
        <v>6</v>
      </c>
      <c r="AC16" s="17"/>
      <c r="AD16" s="16"/>
      <c r="AE16" s="16">
        <f t="shared" si="29"/>
        <v>6</v>
      </c>
      <c r="AF16" s="17"/>
      <c r="AG16" s="16"/>
      <c r="AH16" s="16">
        <f t="shared" si="30"/>
        <v>6</v>
      </c>
      <c r="AI16" s="17"/>
      <c r="AJ16" s="16"/>
      <c r="AK16" s="16">
        <f t="shared" si="31"/>
        <v>6</v>
      </c>
      <c r="AL16" s="17"/>
      <c r="AM16" s="16"/>
      <c r="AN16" s="16">
        <f t="shared" si="32"/>
        <v>6</v>
      </c>
      <c r="AO16" s="17"/>
      <c r="AP16" s="16"/>
      <c r="AQ16" s="16">
        <f t="shared" si="33"/>
        <v>6</v>
      </c>
      <c r="AR16" s="17"/>
      <c r="AS16" s="16"/>
      <c r="AT16" s="16">
        <f t="shared" si="34"/>
        <v>6</v>
      </c>
      <c r="AU16" s="17"/>
      <c r="AV16" s="16"/>
      <c r="AW16" s="16">
        <f t="shared" si="35"/>
        <v>6</v>
      </c>
      <c r="AX16" s="17"/>
      <c r="AY16" s="16"/>
      <c r="AZ16" s="16">
        <f t="shared" si="36"/>
        <v>6</v>
      </c>
      <c r="BA16" s="17"/>
      <c r="BB16" s="16"/>
      <c r="BC16" s="16">
        <f t="shared" si="37"/>
        <v>6</v>
      </c>
      <c r="BD16" s="17"/>
      <c r="BE16" s="16"/>
      <c r="BF16" s="16">
        <f t="shared" si="38"/>
        <v>6</v>
      </c>
      <c r="BG16" s="17"/>
      <c r="BH16" s="16"/>
      <c r="BI16" s="16">
        <f t="shared" si="39"/>
        <v>6</v>
      </c>
      <c r="BJ16" s="17"/>
      <c r="BK16" s="16"/>
      <c r="BL16" s="16">
        <f t="shared" si="40"/>
        <v>6</v>
      </c>
      <c r="BM16" s="17"/>
      <c r="BN16" s="16"/>
      <c r="BO16" s="16">
        <f t="shared" si="41"/>
        <v>6</v>
      </c>
      <c r="BP16" s="17"/>
      <c r="BQ16" s="16"/>
      <c r="BR16" s="16">
        <f t="shared" si="42"/>
        <v>6</v>
      </c>
      <c r="BS16" s="17"/>
      <c r="BT16" s="16"/>
      <c r="BU16" s="16">
        <f t="shared" si="43"/>
        <v>6</v>
      </c>
      <c r="BV16" s="17"/>
      <c r="BW16" s="16"/>
      <c r="BX16" s="16">
        <f t="shared" si="44"/>
        <v>6</v>
      </c>
      <c r="BY16" s="17"/>
      <c r="BZ16" s="16"/>
      <c r="CA16" s="16">
        <f t="shared" si="45"/>
        <v>6</v>
      </c>
      <c r="CB16" s="17"/>
      <c r="CC16" s="16"/>
      <c r="CD16" s="16">
        <f t="shared" si="46"/>
        <v>6</v>
      </c>
      <c r="CE16" s="17"/>
      <c r="CF16" s="16"/>
      <c r="CG16" s="16">
        <f t="shared" si="47"/>
        <v>6</v>
      </c>
      <c r="CH16" s="17"/>
      <c r="CI16" s="16"/>
      <c r="CJ16" s="16">
        <f t="shared" si="48"/>
        <v>6</v>
      </c>
      <c r="CK16" s="17"/>
      <c r="CL16" s="16"/>
      <c r="CM16" s="16">
        <f t="shared" si="49"/>
        <v>6</v>
      </c>
      <c r="CN16" s="17"/>
      <c r="CO16" s="16"/>
      <c r="CP16" s="16">
        <f t="shared" si="50"/>
        <v>6</v>
      </c>
      <c r="CQ16" s="18">
        <f t="shared" si="51"/>
        <v>0</v>
      </c>
      <c r="CR16" s="18">
        <f t="shared" si="52"/>
        <v>6</v>
      </c>
      <c r="CS16" s="1"/>
      <c r="CT16" s="1"/>
    </row>
    <row r="17" ht="57" customHeight="1">
      <c r="A17" s="1"/>
      <c r="B17" s="19"/>
      <c r="C17" s="19"/>
      <c r="D17" s="26" t="s">
        <v>94</v>
      </c>
      <c r="E17" s="15" t="s">
        <v>67</v>
      </c>
      <c r="F17" s="15" t="s">
        <v>80</v>
      </c>
      <c r="G17" s="15" t="s">
        <v>95</v>
      </c>
      <c r="H17" s="15">
        <v>4</v>
      </c>
      <c r="I17" s="16"/>
      <c r="J17" s="16">
        <f t="shared" si="22"/>
        <v>4</v>
      </c>
      <c r="K17" s="17"/>
      <c r="L17" s="16"/>
      <c r="M17" s="16">
        <f t="shared" si="23"/>
        <v>4</v>
      </c>
      <c r="N17" s="17"/>
      <c r="O17" s="16"/>
      <c r="P17" s="16">
        <f t="shared" si="24"/>
        <v>4</v>
      </c>
      <c r="Q17" s="17"/>
      <c r="R17" s="16"/>
      <c r="S17" s="16">
        <f t="shared" si="25"/>
        <v>4</v>
      </c>
      <c r="T17" s="17"/>
      <c r="U17" s="16"/>
      <c r="V17" s="16">
        <f t="shared" si="26"/>
        <v>4</v>
      </c>
      <c r="W17" s="17"/>
      <c r="X17" s="16"/>
      <c r="Y17" s="16">
        <f t="shared" si="27"/>
        <v>4</v>
      </c>
      <c r="Z17" s="17"/>
      <c r="AA17" s="16"/>
      <c r="AB17" s="16">
        <f t="shared" si="28"/>
        <v>4</v>
      </c>
      <c r="AC17" s="17"/>
      <c r="AD17" s="16"/>
      <c r="AE17" s="16">
        <f t="shared" si="29"/>
        <v>4</v>
      </c>
      <c r="AF17" s="17"/>
      <c r="AG17" s="16"/>
      <c r="AH17" s="16">
        <f t="shared" si="30"/>
        <v>4</v>
      </c>
      <c r="AI17" s="17"/>
      <c r="AJ17" s="16"/>
      <c r="AK17" s="16">
        <f t="shared" si="31"/>
        <v>4</v>
      </c>
      <c r="AL17" s="17"/>
      <c r="AM17" s="16"/>
      <c r="AN17" s="16">
        <f t="shared" si="32"/>
        <v>4</v>
      </c>
      <c r="AO17" s="17"/>
      <c r="AP17" s="16"/>
      <c r="AQ17" s="16">
        <f t="shared" si="33"/>
        <v>4</v>
      </c>
      <c r="AR17" s="17"/>
      <c r="AS17" s="16"/>
      <c r="AT17" s="16">
        <f t="shared" si="34"/>
        <v>4</v>
      </c>
      <c r="AU17" s="17"/>
      <c r="AV17" s="16"/>
      <c r="AW17" s="16">
        <f t="shared" si="35"/>
        <v>4</v>
      </c>
      <c r="AX17" s="17"/>
      <c r="AY17" s="16"/>
      <c r="AZ17" s="16">
        <f t="shared" si="36"/>
        <v>4</v>
      </c>
      <c r="BA17" s="17"/>
      <c r="BB17" s="16"/>
      <c r="BC17" s="16">
        <f t="shared" si="37"/>
        <v>4</v>
      </c>
      <c r="BD17" s="17"/>
      <c r="BE17" s="16"/>
      <c r="BF17" s="16">
        <f t="shared" si="38"/>
        <v>4</v>
      </c>
      <c r="BG17" s="17"/>
      <c r="BH17" s="16"/>
      <c r="BI17" s="16">
        <f t="shared" si="39"/>
        <v>4</v>
      </c>
      <c r="BJ17" s="17"/>
      <c r="BK17" s="16"/>
      <c r="BL17" s="16">
        <f t="shared" si="40"/>
        <v>4</v>
      </c>
      <c r="BM17" s="17"/>
      <c r="BN17" s="16"/>
      <c r="BO17" s="16">
        <f t="shared" si="41"/>
        <v>4</v>
      </c>
      <c r="BP17" s="17"/>
      <c r="BQ17" s="16"/>
      <c r="BR17" s="16">
        <f t="shared" si="42"/>
        <v>4</v>
      </c>
      <c r="BS17" s="17"/>
      <c r="BT17" s="16"/>
      <c r="BU17" s="16">
        <f t="shared" si="43"/>
        <v>4</v>
      </c>
      <c r="BV17" s="17"/>
      <c r="BW17" s="16"/>
      <c r="BX17" s="16">
        <f t="shared" si="44"/>
        <v>4</v>
      </c>
      <c r="BY17" s="17"/>
      <c r="BZ17" s="16"/>
      <c r="CA17" s="16">
        <f t="shared" si="45"/>
        <v>4</v>
      </c>
      <c r="CB17" s="17"/>
      <c r="CC17" s="16"/>
      <c r="CD17" s="16">
        <f t="shared" si="46"/>
        <v>4</v>
      </c>
      <c r="CE17" s="17"/>
      <c r="CF17" s="16"/>
      <c r="CG17" s="16">
        <f t="shared" si="47"/>
        <v>4</v>
      </c>
      <c r="CH17" s="17"/>
      <c r="CI17" s="16"/>
      <c r="CJ17" s="16">
        <f t="shared" si="48"/>
        <v>4</v>
      </c>
      <c r="CK17" s="17"/>
      <c r="CL17" s="16"/>
      <c r="CM17" s="16">
        <f t="shared" si="49"/>
        <v>4</v>
      </c>
      <c r="CN17" s="17"/>
      <c r="CO17" s="16"/>
      <c r="CP17" s="16">
        <f t="shared" si="50"/>
        <v>4</v>
      </c>
      <c r="CQ17" s="18">
        <f t="shared" si="51"/>
        <v>0</v>
      </c>
      <c r="CR17" s="18">
        <f t="shared" si="52"/>
        <v>4</v>
      </c>
      <c r="CS17" s="1"/>
      <c r="CT17" s="1"/>
    </row>
    <row r="18" ht="57" customHeight="1">
      <c r="A18" s="1"/>
      <c r="B18" s="19"/>
      <c r="C18" s="19"/>
      <c r="D18" s="26" t="s">
        <v>96</v>
      </c>
      <c r="E18" s="15" t="s">
        <v>70</v>
      </c>
      <c r="F18" s="15" t="s">
        <v>80</v>
      </c>
      <c r="G18" s="15" t="s">
        <v>97</v>
      </c>
      <c r="H18" s="15">
        <v>4</v>
      </c>
      <c r="I18" s="16"/>
      <c r="J18" s="16">
        <f t="shared" si="22"/>
        <v>4</v>
      </c>
      <c r="K18" s="17"/>
      <c r="L18" s="16"/>
      <c r="M18" s="16">
        <f t="shared" si="23"/>
        <v>4</v>
      </c>
      <c r="N18" s="17"/>
      <c r="O18" s="16"/>
      <c r="P18" s="16">
        <f t="shared" si="24"/>
        <v>4</v>
      </c>
      <c r="Q18" s="17"/>
      <c r="R18" s="16"/>
      <c r="S18" s="16">
        <f t="shared" si="25"/>
        <v>4</v>
      </c>
      <c r="T18" s="17"/>
      <c r="U18" s="16"/>
      <c r="V18" s="16">
        <f t="shared" si="26"/>
        <v>4</v>
      </c>
      <c r="W18" s="17"/>
      <c r="X18" s="16"/>
      <c r="Y18" s="16">
        <f t="shared" si="27"/>
        <v>4</v>
      </c>
      <c r="Z18" s="17"/>
      <c r="AA18" s="16"/>
      <c r="AB18" s="16">
        <f t="shared" si="28"/>
        <v>4</v>
      </c>
      <c r="AC18" s="17"/>
      <c r="AD18" s="16"/>
      <c r="AE18" s="16">
        <f t="shared" si="29"/>
        <v>4</v>
      </c>
      <c r="AF18" s="17"/>
      <c r="AG18" s="16"/>
      <c r="AH18" s="16">
        <f t="shared" si="30"/>
        <v>4</v>
      </c>
      <c r="AI18" s="17"/>
      <c r="AJ18" s="16"/>
      <c r="AK18" s="16">
        <f t="shared" si="31"/>
        <v>4</v>
      </c>
      <c r="AL18" s="17"/>
      <c r="AM18" s="16"/>
      <c r="AN18" s="16">
        <f t="shared" si="32"/>
        <v>4</v>
      </c>
      <c r="AO18" s="17"/>
      <c r="AP18" s="16"/>
      <c r="AQ18" s="16">
        <f t="shared" si="33"/>
        <v>4</v>
      </c>
      <c r="AR18" s="17"/>
      <c r="AS18" s="16"/>
      <c r="AT18" s="16">
        <f t="shared" si="34"/>
        <v>4</v>
      </c>
      <c r="AU18" s="17"/>
      <c r="AV18" s="16"/>
      <c r="AW18" s="16">
        <f t="shared" si="35"/>
        <v>4</v>
      </c>
      <c r="AX18" s="17"/>
      <c r="AY18" s="16"/>
      <c r="AZ18" s="16">
        <f t="shared" si="36"/>
        <v>4</v>
      </c>
      <c r="BA18" s="17"/>
      <c r="BB18" s="16"/>
      <c r="BC18" s="16">
        <f t="shared" si="37"/>
        <v>4</v>
      </c>
      <c r="BD18" s="17"/>
      <c r="BE18" s="16"/>
      <c r="BF18" s="16">
        <f t="shared" si="38"/>
        <v>4</v>
      </c>
      <c r="BG18" s="17"/>
      <c r="BH18" s="16"/>
      <c r="BI18" s="16">
        <f t="shared" si="39"/>
        <v>4</v>
      </c>
      <c r="BJ18" s="17"/>
      <c r="BK18" s="16"/>
      <c r="BL18" s="16">
        <f t="shared" si="40"/>
        <v>4</v>
      </c>
      <c r="BM18" s="17"/>
      <c r="BN18" s="16"/>
      <c r="BO18" s="16">
        <f t="shared" si="41"/>
        <v>4</v>
      </c>
      <c r="BP18" s="17"/>
      <c r="BQ18" s="16"/>
      <c r="BR18" s="16">
        <f t="shared" si="42"/>
        <v>4</v>
      </c>
      <c r="BS18" s="17"/>
      <c r="BT18" s="16"/>
      <c r="BU18" s="16">
        <f t="shared" si="43"/>
        <v>4</v>
      </c>
      <c r="BV18" s="17"/>
      <c r="BW18" s="16"/>
      <c r="BX18" s="16">
        <f t="shared" si="44"/>
        <v>4</v>
      </c>
      <c r="BY18" s="17"/>
      <c r="BZ18" s="16"/>
      <c r="CA18" s="16">
        <f t="shared" si="45"/>
        <v>4</v>
      </c>
      <c r="CB18" s="17"/>
      <c r="CC18" s="16"/>
      <c r="CD18" s="16">
        <f t="shared" si="46"/>
        <v>4</v>
      </c>
      <c r="CE18" s="17"/>
      <c r="CF18" s="16"/>
      <c r="CG18" s="16">
        <f t="shared" si="47"/>
        <v>4</v>
      </c>
      <c r="CH18" s="17"/>
      <c r="CI18" s="16"/>
      <c r="CJ18" s="16">
        <f t="shared" si="48"/>
        <v>4</v>
      </c>
      <c r="CK18" s="17"/>
      <c r="CL18" s="16"/>
      <c r="CM18" s="16">
        <f t="shared" si="49"/>
        <v>4</v>
      </c>
      <c r="CN18" s="17"/>
      <c r="CO18" s="16"/>
      <c r="CP18" s="16">
        <f t="shared" si="50"/>
        <v>4</v>
      </c>
      <c r="CQ18" s="18">
        <f t="shared" si="51"/>
        <v>0</v>
      </c>
      <c r="CR18" s="18">
        <f t="shared" si="52"/>
        <v>4</v>
      </c>
      <c r="CS18" s="1"/>
      <c r="CT18" s="1"/>
    </row>
    <row r="19" ht="57" customHeight="1">
      <c r="A19" s="1"/>
      <c r="B19" s="19"/>
      <c r="C19" s="19"/>
      <c r="D19" s="26" t="s">
        <v>98</v>
      </c>
      <c r="E19" s="15" t="s">
        <v>36</v>
      </c>
      <c r="F19" s="15" t="s">
        <v>80</v>
      </c>
      <c r="G19" s="15" t="s">
        <v>99</v>
      </c>
      <c r="H19" s="15">
        <v>4</v>
      </c>
      <c r="I19" s="16"/>
      <c r="J19" s="16">
        <f t="shared" si="22"/>
        <v>4</v>
      </c>
      <c r="K19" s="17"/>
      <c r="L19" s="16"/>
      <c r="M19" s="16">
        <f t="shared" si="23"/>
        <v>4</v>
      </c>
      <c r="N19" s="17"/>
      <c r="O19" s="16"/>
      <c r="P19" s="16">
        <f t="shared" si="24"/>
        <v>4</v>
      </c>
      <c r="Q19" s="17"/>
      <c r="R19" s="16"/>
      <c r="S19" s="16">
        <f t="shared" si="25"/>
        <v>4</v>
      </c>
      <c r="T19" s="17"/>
      <c r="U19" s="16"/>
      <c r="V19" s="16">
        <f t="shared" si="26"/>
        <v>4</v>
      </c>
      <c r="W19" s="17"/>
      <c r="X19" s="16"/>
      <c r="Y19" s="16">
        <f t="shared" si="27"/>
        <v>4</v>
      </c>
      <c r="Z19" s="17"/>
      <c r="AA19" s="16"/>
      <c r="AB19" s="16">
        <f t="shared" si="28"/>
        <v>4</v>
      </c>
      <c r="AC19" s="17"/>
      <c r="AD19" s="16"/>
      <c r="AE19" s="16"/>
      <c r="AF19" s="17"/>
      <c r="AG19" s="16"/>
      <c r="AH19" s="16">
        <f t="shared" si="30"/>
        <v>0</v>
      </c>
      <c r="AI19" s="17"/>
      <c r="AJ19" s="16"/>
      <c r="AK19" s="16">
        <f t="shared" si="31"/>
        <v>0</v>
      </c>
      <c r="AL19" s="17"/>
      <c r="AM19" s="16"/>
      <c r="AN19" s="16">
        <f t="shared" si="32"/>
        <v>0</v>
      </c>
      <c r="AO19" s="17"/>
      <c r="AP19" s="16"/>
      <c r="AQ19" s="16">
        <f t="shared" si="33"/>
        <v>0</v>
      </c>
      <c r="AR19" s="17"/>
      <c r="AS19" s="16"/>
      <c r="AT19" s="16">
        <f t="shared" si="34"/>
        <v>0</v>
      </c>
      <c r="AU19" s="17"/>
      <c r="AV19" s="16"/>
      <c r="AW19" s="16">
        <f t="shared" si="35"/>
        <v>0</v>
      </c>
      <c r="AX19" s="17"/>
      <c r="AY19" s="16"/>
      <c r="AZ19" s="16">
        <f t="shared" si="36"/>
        <v>0</v>
      </c>
      <c r="BA19" s="17"/>
      <c r="BB19" s="16"/>
      <c r="BC19" s="16">
        <f t="shared" si="37"/>
        <v>0</v>
      </c>
      <c r="BD19" s="17"/>
      <c r="BE19" s="16"/>
      <c r="BF19" s="16">
        <f t="shared" si="38"/>
        <v>0</v>
      </c>
      <c r="BG19" s="17"/>
      <c r="BH19" s="16"/>
      <c r="BI19" s="16">
        <f t="shared" si="39"/>
        <v>0</v>
      </c>
      <c r="BJ19" s="17"/>
      <c r="BK19" s="16"/>
      <c r="BL19" s="16">
        <f t="shared" si="40"/>
        <v>0</v>
      </c>
      <c r="BM19" s="17"/>
      <c r="BN19" s="16"/>
      <c r="BO19" s="16">
        <f t="shared" si="41"/>
        <v>0</v>
      </c>
      <c r="BP19" s="17"/>
      <c r="BQ19" s="16"/>
      <c r="BR19" s="16">
        <f t="shared" si="42"/>
        <v>0</v>
      </c>
      <c r="BS19" s="17"/>
      <c r="BT19" s="16"/>
      <c r="BU19" s="16">
        <f t="shared" si="43"/>
        <v>0</v>
      </c>
      <c r="BV19" s="17"/>
      <c r="BW19" s="16"/>
      <c r="BX19" s="16">
        <f t="shared" si="44"/>
        <v>0</v>
      </c>
      <c r="BY19" s="17"/>
      <c r="BZ19" s="16"/>
      <c r="CA19" s="16">
        <f t="shared" si="45"/>
        <v>0</v>
      </c>
      <c r="CB19" s="17"/>
      <c r="CC19" s="16"/>
      <c r="CD19" s="16">
        <f t="shared" si="46"/>
        <v>0</v>
      </c>
      <c r="CE19" s="17"/>
      <c r="CF19" s="16"/>
      <c r="CG19" s="16">
        <f t="shared" si="47"/>
        <v>0</v>
      </c>
      <c r="CH19" s="17"/>
      <c r="CI19" s="16"/>
      <c r="CJ19" s="16">
        <f t="shared" si="48"/>
        <v>0</v>
      </c>
      <c r="CK19" s="17"/>
      <c r="CL19" s="16"/>
      <c r="CM19" s="16">
        <f t="shared" si="49"/>
        <v>0</v>
      </c>
      <c r="CN19" s="17"/>
      <c r="CO19" s="16"/>
      <c r="CP19" s="16">
        <f t="shared" si="50"/>
        <v>0</v>
      </c>
      <c r="CQ19" s="18">
        <f t="shared" si="51"/>
        <v>0</v>
      </c>
      <c r="CR19" s="18">
        <f t="shared" si="52"/>
        <v>4</v>
      </c>
      <c r="CS19" s="1"/>
      <c r="CT19" s="1"/>
    </row>
    <row r="20" ht="57" customHeight="1">
      <c r="A20" s="1"/>
      <c r="B20" s="19"/>
      <c r="C20" s="19"/>
      <c r="D20" s="26" t="s">
        <v>100</v>
      </c>
      <c r="E20" s="15" t="s">
        <v>70</v>
      </c>
      <c r="F20" s="15" t="s">
        <v>80</v>
      </c>
      <c r="G20" s="15" t="s">
        <v>101</v>
      </c>
      <c r="H20" s="15">
        <v>2</v>
      </c>
      <c r="I20" s="16"/>
      <c r="J20" s="16">
        <f t="shared" si="22"/>
        <v>2</v>
      </c>
      <c r="K20" s="17"/>
      <c r="L20" s="16"/>
      <c r="M20" s="16">
        <f t="shared" si="23"/>
        <v>2</v>
      </c>
      <c r="N20" s="17"/>
      <c r="O20" s="16"/>
      <c r="P20" s="16">
        <f t="shared" si="24"/>
        <v>2</v>
      </c>
      <c r="Q20" s="17"/>
      <c r="R20" s="16"/>
      <c r="S20" s="16">
        <f t="shared" si="25"/>
        <v>2</v>
      </c>
      <c r="T20" s="17"/>
      <c r="U20" s="16"/>
      <c r="V20" s="16">
        <f t="shared" si="26"/>
        <v>2</v>
      </c>
      <c r="W20" s="17"/>
      <c r="X20" s="16"/>
      <c r="Y20" s="16">
        <f t="shared" si="27"/>
        <v>2</v>
      </c>
      <c r="Z20" s="17"/>
      <c r="AA20" s="16"/>
      <c r="AB20" s="16">
        <f t="shared" si="28"/>
        <v>2</v>
      </c>
      <c r="AC20" s="17"/>
      <c r="AD20" s="16"/>
      <c r="AE20" s="16"/>
      <c r="AF20" s="17"/>
      <c r="AG20" s="16"/>
      <c r="AH20" s="16">
        <f t="shared" si="30"/>
        <v>0</v>
      </c>
      <c r="AI20" s="17"/>
      <c r="AJ20" s="16"/>
      <c r="AK20" s="16">
        <f t="shared" si="31"/>
        <v>0</v>
      </c>
      <c r="AL20" s="17"/>
      <c r="AM20" s="16"/>
      <c r="AN20" s="16">
        <f t="shared" si="32"/>
        <v>0</v>
      </c>
      <c r="AO20" s="17"/>
      <c r="AP20" s="16"/>
      <c r="AQ20" s="16">
        <f t="shared" si="33"/>
        <v>0</v>
      </c>
      <c r="AR20" s="17"/>
      <c r="AS20" s="16"/>
      <c r="AT20" s="16">
        <f t="shared" si="34"/>
        <v>0</v>
      </c>
      <c r="AU20" s="17"/>
      <c r="AV20" s="16"/>
      <c r="AW20" s="16">
        <f t="shared" si="35"/>
        <v>0</v>
      </c>
      <c r="AX20" s="17"/>
      <c r="AY20" s="16"/>
      <c r="AZ20" s="16">
        <f t="shared" si="36"/>
        <v>0</v>
      </c>
      <c r="BA20" s="17"/>
      <c r="BB20" s="16"/>
      <c r="BC20" s="16">
        <f t="shared" si="37"/>
        <v>0</v>
      </c>
      <c r="BD20" s="17"/>
      <c r="BE20" s="16"/>
      <c r="BF20" s="16">
        <f t="shared" si="38"/>
        <v>0</v>
      </c>
      <c r="BG20" s="17"/>
      <c r="BH20" s="16"/>
      <c r="BI20" s="16">
        <f t="shared" si="39"/>
        <v>0</v>
      </c>
      <c r="BJ20" s="17"/>
      <c r="BK20" s="16"/>
      <c r="BL20" s="16">
        <f t="shared" si="40"/>
        <v>0</v>
      </c>
      <c r="BM20" s="17"/>
      <c r="BN20" s="16"/>
      <c r="BO20" s="16">
        <f t="shared" si="41"/>
        <v>0</v>
      </c>
      <c r="BP20" s="17"/>
      <c r="BQ20" s="16"/>
      <c r="BR20" s="16">
        <f t="shared" si="42"/>
        <v>0</v>
      </c>
      <c r="BS20" s="17"/>
      <c r="BT20" s="16"/>
      <c r="BU20" s="16">
        <f t="shared" si="43"/>
        <v>0</v>
      </c>
      <c r="BV20" s="17"/>
      <c r="BW20" s="16"/>
      <c r="BX20" s="16">
        <f t="shared" si="44"/>
        <v>0</v>
      </c>
      <c r="BY20" s="17"/>
      <c r="BZ20" s="16"/>
      <c r="CA20" s="16">
        <f t="shared" si="45"/>
        <v>0</v>
      </c>
      <c r="CB20" s="17"/>
      <c r="CC20" s="16"/>
      <c r="CD20" s="16">
        <f t="shared" si="46"/>
        <v>0</v>
      </c>
      <c r="CE20" s="17"/>
      <c r="CF20" s="16"/>
      <c r="CG20" s="16">
        <f t="shared" si="47"/>
        <v>0</v>
      </c>
      <c r="CH20" s="17"/>
      <c r="CI20" s="16"/>
      <c r="CJ20" s="16">
        <f t="shared" si="48"/>
        <v>0</v>
      </c>
      <c r="CK20" s="17"/>
      <c r="CL20" s="16"/>
      <c r="CM20" s="16">
        <f t="shared" si="49"/>
        <v>0</v>
      </c>
      <c r="CN20" s="17"/>
      <c r="CO20" s="16"/>
      <c r="CP20" s="16">
        <f t="shared" si="50"/>
        <v>0</v>
      </c>
      <c r="CQ20" s="18">
        <f t="shared" si="51"/>
        <v>0</v>
      </c>
      <c r="CR20" s="18">
        <f t="shared" si="52"/>
        <v>2</v>
      </c>
      <c r="CS20" s="1"/>
      <c r="CT20" s="1"/>
    </row>
    <row r="21" ht="57" customHeight="1">
      <c r="A21" s="1"/>
      <c r="B21" s="19"/>
      <c r="C21" s="19"/>
      <c r="D21" s="26" t="s">
        <v>102</v>
      </c>
      <c r="E21" s="15" t="s">
        <v>67</v>
      </c>
      <c r="F21" s="15" t="s">
        <v>80</v>
      </c>
      <c r="G21" s="15" t="s">
        <v>103</v>
      </c>
      <c r="H21" s="15">
        <v>2</v>
      </c>
      <c r="I21" s="16"/>
      <c r="J21" s="16">
        <f t="shared" si="22"/>
        <v>2</v>
      </c>
      <c r="K21" s="17"/>
      <c r="L21" s="16"/>
      <c r="M21" s="16">
        <f t="shared" si="23"/>
        <v>2</v>
      </c>
      <c r="N21" s="17"/>
      <c r="O21" s="16"/>
      <c r="P21" s="16">
        <f t="shared" si="24"/>
        <v>2</v>
      </c>
      <c r="Q21" s="17"/>
      <c r="R21" s="16"/>
      <c r="S21" s="16">
        <f t="shared" si="25"/>
        <v>2</v>
      </c>
      <c r="T21" s="17"/>
      <c r="U21" s="16"/>
      <c r="V21" s="16">
        <f t="shared" si="26"/>
        <v>2</v>
      </c>
      <c r="W21" s="17"/>
      <c r="X21" s="16"/>
      <c r="Y21" s="16">
        <f t="shared" si="27"/>
        <v>2</v>
      </c>
      <c r="Z21" s="17"/>
      <c r="AA21" s="16"/>
      <c r="AB21" s="16">
        <f t="shared" si="28"/>
        <v>2</v>
      </c>
      <c r="AC21" s="17"/>
      <c r="AD21" s="16"/>
      <c r="AE21" s="16"/>
      <c r="AF21" s="17"/>
      <c r="AG21" s="16"/>
      <c r="AH21" s="16">
        <f t="shared" si="30"/>
        <v>0</v>
      </c>
      <c r="AI21" s="17"/>
      <c r="AJ21" s="16"/>
      <c r="AK21" s="16">
        <f t="shared" si="31"/>
        <v>0</v>
      </c>
      <c r="AL21" s="17"/>
      <c r="AM21" s="16"/>
      <c r="AN21" s="16">
        <f t="shared" si="32"/>
        <v>0</v>
      </c>
      <c r="AO21" s="17"/>
      <c r="AP21" s="16"/>
      <c r="AQ21" s="16">
        <f t="shared" si="33"/>
        <v>0</v>
      </c>
      <c r="AR21" s="17"/>
      <c r="AS21" s="16"/>
      <c r="AT21" s="16">
        <f t="shared" si="34"/>
        <v>0</v>
      </c>
      <c r="AU21" s="17"/>
      <c r="AV21" s="16"/>
      <c r="AW21" s="16">
        <f t="shared" si="35"/>
        <v>0</v>
      </c>
      <c r="AX21" s="17"/>
      <c r="AY21" s="16"/>
      <c r="AZ21" s="16">
        <f t="shared" si="36"/>
        <v>0</v>
      </c>
      <c r="BA21" s="17"/>
      <c r="BB21" s="16"/>
      <c r="BC21" s="16">
        <f t="shared" si="37"/>
        <v>0</v>
      </c>
      <c r="BD21" s="17"/>
      <c r="BE21" s="16"/>
      <c r="BF21" s="16">
        <f t="shared" si="38"/>
        <v>0</v>
      </c>
      <c r="BG21" s="17"/>
      <c r="BH21" s="16"/>
      <c r="BI21" s="16">
        <f t="shared" si="39"/>
        <v>0</v>
      </c>
      <c r="BJ21" s="17"/>
      <c r="BK21" s="16"/>
      <c r="BL21" s="16">
        <f t="shared" si="40"/>
        <v>0</v>
      </c>
      <c r="BM21" s="17"/>
      <c r="BN21" s="16"/>
      <c r="BO21" s="16">
        <f t="shared" si="41"/>
        <v>0</v>
      </c>
      <c r="BP21" s="17"/>
      <c r="BQ21" s="16"/>
      <c r="BR21" s="16">
        <f t="shared" si="42"/>
        <v>0</v>
      </c>
      <c r="BS21" s="17"/>
      <c r="BT21" s="16"/>
      <c r="BU21" s="16">
        <f t="shared" si="43"/>
        <v>0</v>
      </c>
      <c r="BV21" s="17"/>
      <c r="BW21" s="16"/>
      <c r="BX21" s="16">
        <f t="shared" si="44"/>
        <v>0</v>
      </c>
      <c r="BY21" s="17"/>
      <c r="BZ21" s="16"/>
      <c r="CA21" s="16">
        <f t="shared" si="45"/>
        <v>0</v>
      </c>
      <c r="CB21" s="17"/>
      <c r="CC21" s="16"/>
      <c r="CD21" s="16">
        <f t="shared" si="46"/>
        <v>0</v>
      </c>
      <c r="CE21" s="17"/>
      <c r="CF21" s="16"/>
      <c r="CG21" s="16">
        <f t="shared" si="47"/>
        <v>0</v>
      </c>
      <c r="CH21" s="17"/>
      <c r="CI21" s="16"/>
      <c r="CJ21" s="16">
        <f t="shared" si="48"/>
        <v>0</v>
      </c>
      <c r="CK21" s="17"/>
      <c r="CL21" s="16"/>
      <c r="CM21" s="16">
        <f t="shared" si="49"/>
        <v>0</v>
      </c>
      <c r="CN21" s="17"/>
      <c r="CO21" s="16"/>
      <c r="CP21" s="16">
        <f t="shared" si="50"/>
        <v>0</v>
      </c>
      <c r="CQ21" s="18">
        <f t="shared" si="51"/>
        <v>0</v>
      </c>
      <c r="CR21" s="18">
        <f t="shared" si="52"/>
        <v>2</v>
      </c>
      <c r="CS21" s="1"/>
      <c r="CT21" s="1"/>
    </row>
    <row r="22" ht="44.25" customHeight="1">
      <c r="A22" s="1"/>
      <c r="B22" s="21"/>
      <c r="C22" s="21"/>
      <c r="D22" s="14" t="s">
        <v>104</v>
      </c>
      <c r="E22" s="15" t="s">
        <v>67</v>
      </c>
      <c r="F22" s="15" t="s">
        <v>80</v>
      </c>
      <c r="G22" s="15" t="s">
        <v>105</v>
      </c>
      <c r="H22" s="15">
        <v>2</v>
      </c>
      <c r="I22" s="16"/>
      <c r="J22" s="16">
        <f t="shared" si="22"/>
        <v>2</v>
      </c>
      <c r="K22" s="17"/>
      <c r="L22" s="16"/>
      <c r="M22" s="16">
        <f t="shared" si="23"/>
        <v>2</v>
      </c>
      <c r="N22" s="17"/>
      <c r="O22" s="16"/>
      <c r="P22" s="16">
        <f t="shared" si="24"/>
        <v>2</v>
      </c>
      <c r="Q22" s="17"/>
      <c r="R22" s="16"/>
      <c r="S22" s="16">
        <f t="shared" si="25"/>
        <v>2</v>
      </c>
      <c r="T22" s="17"/>
      <c r="U22" s="16"/>
      <c r="V22" s="16">
        <f t="shared" si="26"/>
        <v>2</v>
      </c>
      <c r="W22" s="17"/>
      <c r="X22" s="16"/>
      <c r="Y22" s="16">
        <f t="shared" si="27"/>
        <v>2</v>
      </c>
      <c r="Z22" s="17"/>
      <c r="AA22" s="16"/>
      <c r="AB22" s="16">
        <f t="shared" si="28"/>
        <v>2</v>
      </c>
      <c r="AC22" s="17"/>
      <c r="AD22" s="16"/>
      <c r="AE22" s="16"/>
      <c r="AF22" s="17"/>
      <c r="AG22" s="16"/>
      <c r="AH22" s="16">
        <f t="shared" si="30"/>
        <v>0</v>
      </c>
      <c r="AI22" s="17"/>
      <c r="AJ22" s="16"/>
      <c r="AK22" s="16">
        <f t="shared" si="31"/>
        <v>0</v>
      </c>
      <c r="AL22" s="17"/>
      <c r="AM22" s="16"/>
      <c r="AN22" s="16">
        <f t="shared" si="32"/>
        <v>0</v>
      </c>
      <c r="AO22" s="17"/>
      <c r="AP22" s="16"/>
      <c r="AQ22" s="16">
        <f t="shared" si="33"/>
        <v>0</v>
      </c>
      <c r="AR22" s="17"/>
      <c r="AS22" s="16"/>
      <c r="AT22" s="16">
        <f t="shared" si="34"/>
        <v>0</v>
      </c>
      <c r="AU22" s="17"/>
      <c r="AV22" s="16"/>
      <c r="AW22" s="16">
        <f t="shared" si="35"/>
        <v>0</v>
      </c>
      <c r="AX22" s="17"/>
      <c r="AY22" s="16"/>
      <c r="AZ22" s="16">
        <f t="shared" si="36"/>
        <v>0</v>
      </c>
      <c r="BA22" s="17"/>
      <c r="BB22" s="16"/>
      <c r="BC22" s="16">
        <f t="shared" si="37"/>
        <v>0</v>
      </c>
      <c r="BD22" s="17"/>
      <c r="BE22" s="16"/>
      <c r="BF22" s="16">
        <f t="shared" si="38"/>
        <v>0</v>
      </c>
      <c r="BG22" s="17"/>
      <c r="BH22" s="16"/>
      <c r="BI22" s="16">
        <f t="shared" si="39"/>
        <v>0</v>
      </c>
      <c r="BJ22" s="17"/>
      <c r="BK22" s="16"/>
      <c r="BL22" s="16">
        <f t="shared" si="40"/>
        <v>0</v>
      </c>
      <c r="BM22" s="17"/>
      <c r="BN22" s="16"/>
      <c r="BO22" s="16">
        <f t="shared" si="41"/>
        <v>0</v>
      </c>
      <c r="BP22" s="17"/>
      <c r="BQ22" s="16"/>
      <c r="BR22" s="16">
        <f t="shared" si="42"/>
        <v>0</v>
      </c>
      <c r="BS22" s="17"/>
      <c r="BT22" s="16"/>
      <c r="BU22" s="16">
        <f t="shared" si="43"/>
        <v>0</v>
      </c>
      <c r="BV22" s="17"/>
      <c r="BW22" s="16"/>
      <c r="BX22" s="16">
        <f t="shared" si="44"/>
        <v>0</v>
      </c>
      <c r="BY22" s="17"/>
      <c r="BZ22" s="16"/>
      <c r="CA22" s="16">
        <f t="shared" si="45"/>
        <v>0</v>
      </c>
      <c r="CB22" s="17"/>
      <c r="CC22" s="16"/>
      <c r="CD22" s="16">
        <f t="shared" si="46"/>
        <v>0</v>
      </c>
      <c r="CE22" s="17"/>
      <c r="CF22" s="16"/>
      <c r="CG22" s="16">
        <f t="shared" si="47"/>
        <v>0</v>
      </c>
      <c r="CH22" s="17"/>
      <c r="CI22" s="16"/>
      <c r="CJ22" s="16">
        <f t="shared" si="48"/>
        <v>0</v>
      </c>
      <c r="CK22" s="17"/>
      <c r="CL22" s="16"/>
      <c r="CM22" s="16">
        <f t="shared" si="49"/>
        <v>0</v>
      </c>
      <c r="CN22" s="17"/>
      <c r="CO22" s="16"/>
      <c r="CP22" s="16">
        <f t="shared" si="50"/>
        <v>0</v>
      </c>
      <c r="CQ22" s="18">
        <f t="shared" si="51"/>
        <v>0</v>
      </c>
      <c r="CR22" s="18">
        <f t="shared" si="52"/>
        <v>2</v>
      </c>
      <c r="CS22" s="1"/>
      <c r="CT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row>
  </sheetData>
  <mergeCells count="38">
    <mergeCell ref="B2:C2"/>
    <mergeCell ref="B3:C3"/>
    <mergeCell ref="I4:J4"/>
    <mergeCell ref="L4:M4"/>
    <mergeCell ref="O4:P4"/>
    <mergeCell ref="R4:S4"/>
    <mergeCell ref="U4:V4"/>
    <mergeCell ref="X4:Y4"/>
    <mergeCell ref="AA4:AB4"/>
    <mergeCell ref="AD4:AE4"/>
    <mergeCell ref="AG4:AH4"/>
    <mergeCell ref="AJ4:AK4"/>
    <mergeCell ref="AM4:AN4"/>
    <mergeCell ref="AP4:AQ4"/>
    <mergeCell ref="AS4:AT4"/>
    <mergeCell ref="AV4:AW4"/>
    <mergeCell ref="AY4:AZ4"/>
    <mergeCell ref="BB4:BC4"/>
    <mergeCell ref="BE4:BF4"/>
    <mergeCell ref="BH4:BI4"/>
    <mergeCell ref="BK4:BL4"/>
    <mergeCell ref="BN4:BO4"/>
    <mergeCell ref="BQ4:BR4"/>
    <mergeCell ref="BT4:BU4"/>
    <mergeCell ref="BW4:BX4"/>
    <mergeCell ref="BZ4:CA4"/>
    <mergeCell ref="CC4:CD4"/>
    <mergeCell ref="CF4:CG4"/>
    <mergeCell ref="CI4:CJ4"/>
    <mergeCell ref="CL4:CM4"/>
    <mergeCell ref="CO4:CP4"/>
    <mergeCell ref="CQ4:CR4"/>
    <mergeCell ref="B6:B8"/>
    <mergeCell ref="C6:C8"/>
    <mergeCell ref="B9:B15"/>
    <mergeCell ref="C9:C15"/>
    <mergeCell ref="B16:B22"/>
    <mergeCell ref="C16:C22"/>
  </mergeCells>
  <printOptions headings="0" gridLines="0"/>
  <pageMargins left="0.62992125984251968" right="0.62992125984251968" top="0.74803149606299213" bottom="0.74803149606299213" header="0" footer="0"/>
  <pageSetup paperSize="9" scale="100" fitToWidth="1" fitToHeight="1" pageOrder="downThenOver" orientation="landscape" usePrinterDefaults="1" blackAndWhite="0" draft="0" cellComments="none" useFirstPageNumber="0" errors="displayed" horizontalDpi="600" verticalDpi="600" copies="1"/>
  <headerFooter/>
  <colBreaks count="4" manualBreakCount="4">
    <brk id="98" man="1"/>
    <brk id="37" man="1"/>
    <brk id="53" man="1"/>
    <brk id="22" man="1"/>
  </colBreaks>
  <extLst>
    <ext xmlns:x14="http://schemas.microsoft.com/office/spreadsheetml/2009/9/main" uri="{CCE6A557-97BC-4b89-ADB6-D9C93CAAB3DF}">
      <x14:dataValidations xmlns:xm="http://schemas.microsoft.com/office/excel/2006/main" count="2" disablePrompts="0">
        <x14:dataValidation xr:uid="{9834EAA9-F077-4180-A54F-81FEBC7E57C1}" type="list" allowBlank="1" errorStyle="stop" imeMode="noControl" operator="between" showDropDown="0" showErrorMessage="1" showInputMessage="0">
          <x14:formula1>
            <xm:f>"Nuevo,En progreso,Listo para probar,Cerrado,Se necesita info"</xm:f>
          </x14:formula1>
          <xm:sqref>F6:F22</xm:sqref>
        </x14:dataValidation>
        <x14:dataValidation xr:uid="{9C7F2CF0-4FE2-4F87-BF14-0A4F558B6861}" type="list" allowBlank="1" errorStyle="stop" imeMode="noControl" operator="between" showDropDown="0" showErrorMessage="1" showInputMessage="0">
          <x14:formula1>
            <xm:f>"Antonia Lizana,Marcelo Valladares"</xm:f>
          </x14:formula1>
          <xm:sqref>E6:E22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6" ySplit="5" topLeftCell="G6" activePane="bottomRight" state="frozen"/>
      <selection activeCell="G6" activeCellId="0" sqref="G6"/>
    </sheetView>
  </sheetViews>
  <sheetFormatPr defaultColWidth="12.630000000000001" defaultRowHeight="15" customHeight="1"/>
  <cols>
    <col customWidth="1" min="1" max="1" width="1.25"/>
    <col customWidth="1" min="2" max="2" width="14.380000000000001"/>
    <col customWidth="1" min="3" max="3" width="32.630000000000003"/>
    <col customWidth="1" min="4" max="4" width="31"/>
    <col customWidth="1" min="5" max="5" width="21.25"/>
    <col customWidth="1" min="6" max="6" width="18.25"/>
    <col customWidth="1" min="7" max="8" width="13.5"/>
    <col customWidth="1" min="9" max="9" width="5.1299999999999999"/>
    <col customWidth="1" min="10" max="10" width="4.75"/>
    <col customWidth="1" min="11" max="11" width="2.3799999999999999"/>
    <col customWidth="1" min="12" max="12" width="5.1299999999999999"/>
    <col customWidth="1" min="13" max="13" width="4.75"/>
    <col customWidth="1" min="14" max="14" width="2.3799999999999999"/>
    <col customWidth="1" min="15" max="15" width="5.1299999999999999"/>
    <col customWidth="1" min="16" max="16" width="4.75"/>
    <col customWidth="1" min="17" max="17" width="2.3799999999999999"/>
    <col customWidth="1" min="18" max="18" width="5.1299999999999999"/>
    <col customWidth="1" min="19" max="19" width="4.75"/>
    <col customWidth="1" min="20" max="20" width="2.3799999999999999"/>
    <col customWidth="1" min="21" max="21" width="5.1299999999999999"/>
    <col customWidth="1" min="22" max="22" width="4.75"/>
    <col customWidth="1" min="23" max="23" width="2.3799999999999999"/>
    <col customWidth="1" min="24" max="24" width="5.1299999999999999"/>
    <col customWidth="1" min="25" max="25" width="4.75"/>
    <col customWidth="1" min="26" max="26" width="2.3799999999999999"/>
    <col customWidth="1" min="27" max="27" width="5.1299999999999999"/>
    <col customWidth="1" min="28" max="28" width="4.75"/>
    <col customWidth="1" min="29" max="29" width="2.3799999999999999"/>
    <col customWidth="1" min="30" max="30" width="5.1299999999999999"/>
    <col customWidth="1" min="31" max="31" width="4.75"/>
    <col customWidth="1" min="32" max="32" width="2.3799999999999999"/>
    <col customWidth="1" min="33" max="33" width="5.1299999999999999"/>
    <col customWidth="1" min="34" max="34" width="4.75"/>
    <col customWidth="1" min="35" max="35" width="2.3799999999999999"/>
    <col customWidth="1" min="36" max="36" width="5.1299999999999999"/>
    <col customWidth="1" min="37" max="37" width="4.75"/>
    <col customWidth="1" min="38" max="38" width="2.3799999999999999"/>
    <col customWidth="1" min="39" max="39" width="5.1299999999999999"/>
    <col customWidth="1" min="40" max="40" width="4.75"/>
    <col customWidth="1" min="41" max="41" width="2.3799999999999999"/>
    <col customWidth="1" min="42" max="42" width="5.1299999999999999"/>
    <col customWidth="1" min="43" max="43" width="4.75"/>
    <col customWidth="1" min="44" max="44" width="2.3799999999999999"/>
    <col customWidth="1" min="45" max="45" width="5.1299999999999999"/>
    <col customWidth="1" min="46" max="46" width="4.75"/>
    <col customWidth="1" min="47" max="47" width="2.3799999999999999"/>
    <col customWidth="1" min="48" max="48" width="5.1299999999999999"/>
    <col customWidth="1" min="49" max="49" width="4.75"/>
    <col customWidth="1" min="50" max="50" width="2.3799999999999999"/>
    <col customWidth="1" min="51" max="51" width="5.1299999999999999"/>
    <col customWidth="1" min="52" max="52" width="4.75"/>
    <col customWidth="1" min="53" max="53" width="2.3799999999999999"/>
    <col customWidth="1" min="54" max="54" width="5.1299999999999999"/>
    <col customWidth="1" min="55" max="55" width="4.75"/>
    <col customWidth="1" min="56" max="56" width="2.3799999999999999"/>
    <col customWidth="1" min="57" max="57" width="5.1299999999999999"/>
    <col customWidth="1" min="58" max="58" width="4.75"/>
    <col customWidth="1" min="59" max="59" width="2.3799999999999999"/>
    <col customWidth="1" min="60" max="60" width="5.1299999999999999"/>
    <col customWidth="1" min="61" max="61" width="4.75"/>
    <col customWidth="1" min="62" max="62" width="2.3799999999999999"/>
    <col customWidth="1" min="63" max="63" width="5.1299999999999999"/>
    <col customWidth="1" min="64" max="64" width="4.75"/>
    <col customWidth="1" min="65" max="65" width="2.3799999999999999"/>
    <col customWidth="1" min="66" max="66" width="5.1299999999999999"/>
    <col customWidth="1" min="67" max="67" width="4.75"/>
    <col customWidth="1" min="68" max="68" width="2.3799999999999999"/>
    <col customWidth="1" min="69" max="69" width="4.8799999999999999"/>
    <col customWidth="1" min="70" max="70" width="5.1299999999999999"/>
    <col customWidth="1" min="71" max="71" width="2.5"/>
    <col customWidth="1" min="72" max="72" width="5.1299999999999999"/>
    <col customWidth="1" min="73" max="73" width="4.75"/>
    <col customWidth="1" min="74" max="74" width="1.75"/>
    <col customWidth="1" min="75" max="75" width="5.75"/>
    <col customWidth="1" min="76" max="76" width="4.75"/>
    <col customWidth="1" min="77" max="77" width="1.3799999999999999"/>
    <col customWidth="1" min="78" max="78" width="6.3799999999999999"/>
    <col customWidth="1" min="79" max="79" width="4.75"/>
    <col customWidth="1" min="80" max="80" width="2"/>
    <col customWidth="1" min="81" max="81" width="5.1299999999999999"/>
    <col customWidth="1" min="82" max="82" width="4.75"/>
    <col customWidth="1" min="83" max="83" width="2.1299999999999999"/>
    <col customWidth="1" min="84" max="84" width="5.25"/>
    <col customWidth="1" min="85" max="85" width="4.75"/>
    <col customWidth="1" min="86" max="86" width="2.5"/>
    <col customWidth="1" min="87" max="87" width="6.1299999999999999"/>
    <col customWidth="1" min="88" max="88" width="4.75"/>
    <col customWidth="1" min="89" max="89" width="2.1299999999999999"/>
    <col customWidth="1" min="90" max="91" width="4.75"/>
    <col customWidth="1" min="92" max="92" width="2.1299999999999999"/>
    <col customWidth="1" min="93" max="94" width="4.75"/>
  </cols>
  <sheetData>
    <row r="1" ht="27.75">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row>
    <row r="2" ht="27.75">
      <c r="A2" s="1"/>
      <c r="B2" s="3" t="s">
        <v>106</v>
      </c>
      <c r="C2" s="23"/>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row>
    <row r="3" ht="21">
      <c r="A3" s="1"/>
      <c r="B3" s="4" t="s">
        <v>1</v>
      </c>
      <c r="C3" s="23"/>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row>
    <row r="4">
      <c r="A4" s="1"/>
      <c r="B4" s="1"/>
      <c r="C4" s="1"/>
      <c r="D4" s="1"/>
      <c r="E4" s="1"/>
      <c r="F4" s="1"/>
      <c r="G4" s="27"/>
      <c r="H4" s="28">
        <v>46305</v>
      </c>
      <c r="I4" s="6" t="s">
        <v>3</v>
      </c>
      <c r="J4" s="7"/>
      <c r="K4" s="6"/>
      <c r="L4" s="8" t="s">
        <v>4</v>
      </c>
      <c r="M4" s="7"/>
      <c r="N4" s="6"/>
      <c r="O4" s="8" t="s">
        <v>5</v>
      </c>
      <c r="P4" s="7"/>
      <c r="Q4" s="6"/>
      <c r="R4" s="8" t="s">
        <v>6</v>
      </c>
      <c r="S4" s="7"/>
      <c r="T4" s="6"/>
      <c r="U4" s="8" t="s">
        <v>7</v>
      </c>
      <c r="V4" s="7"/>
      <c r="W4" s="6"/>
      <c r="X4" s="8" t="s">
        <v>8</v>
      </c>
      <c r="Y4" s="7"/>
      <c r="Z4" s="6"/>
      <c r="AA4" s="8" t="s">
        <v>9</v>
      </c>
      <c r="AB4" s="7"/>
      <c r="AC4" s="6"/>
      <c r="AD4" s="8" t="s">
        <v>10</v>
      </c>
      <c r="AE4" s="7"/>
      <c r="AF4" s="6"/>
      <c r="AG4" s="8" t="s">
        <v>11</v>
      </c>
      <c r="AH4" s="7"/>
      <c r="AI4" s="6"/>
      <c r="AJ4" s="8" t="s">
        <v>12</v>
      </c>
      <c r="AK4" s="7"/>
      <c r="AL4" s="6"/>
      <c r="AM4" s="8" t="s">
        <v>13</v>
      </c>
      <c r="AN4" s="7"/>
      <c r="AO4" s="6"/>
      <c r="AP4" s="8" t="s">
        <v>14</v>
      </c>
      <c r="AQ4" s="7"/>
      <c r="AR4" s="6"/>
      <c r="AS4" s="8" t="s">
        <v>15</v>
      </c>
      <c r="AT4" s="7"/>
      <c r="AU4" s="6"/>
      <c r="AV4" s="8" t="s">
        <v>16</v>
      </c>
      <c r="AW4" s="7"/>
      <c r="AX4" s="6"/>
      <c r="AY4" s="8" t="s">
        <v>17</v>
      </c>
      <c r="AZ4" s="7"/>
      <c r="BA4" s="6"/>
      <c r="BB4" s="8" t="s">
        <v>18</v>
      </c>
      <c r="BC4" s="7"/>
      <c r="BD4" s="6"/>
      <c r="BE4" s="8" t="s">
        <v>19</v>
      </c>
      <c r="BF4" s="7"/>
      <c r="BG4" s="6"/>
      <c r="BH4" s="8" t="s">
        <v>20</v>
      </c>
      <c r="BI4" s="7"/>
      <c r="BJ4" s="6"/>
      <c r="BK4" s="8" t="s">
        <v>21</v>
      </c>
      <c r="BL4" s="7"/>
      <c r="BM4" s="6"/>
      <c r="BN4" s="8" t="s">
        <v>22</v>
      </c>
      <c r="BO4" s="7"/>
      <c r="BP4" s="6"/>
      <c r="BQ4" s="25" t="s">
        <v>53</v>
      </c>
      <c r="BR4" s="7"/>
      <c r="BS4" s="6"/>
      <c r="BT4" s="25" t="s">
        <v>54</v>
      </c>
      <c r="BU4" s="7"/>
      <c r="BV4" s="6"/>
      <c r="BW4" s="25" t="s">
        <v>55</v>
      </c>
      <c r="BX4" s="7"/>
      <c r="BY4" s="6"/>
      <c r="BZ4" s="25" t="s">
        <v>56</v>
      </c>
      <c r="CA4" s="7"/>
      <c r="CB4" s="6"/>
      <c r="CC4" s="25" t="s">
        <v>57</v>
      </c>
      <c r="CD4" s="7"/>
      <c r="CE4" s="6"/>
      <c r="CF4" s="25" t="s">
        <v>58</v>
      </c>
      <c r="CG4" s="7"/>
      <c r="CH4" s="6"/>
      <c r="CI4" s="8" t="s">
        <v>23</v>
      </c>
      <c r="CJ4" s="7"/>
    </row>
    <row r="5" ht="42.75">
      <c r="A5" s="1"/>
      <c r="B5" s="9" t="s">
        <v>24</v>
      </c>
      <c r="C5" s="9" t="s">
        <v>25</v>
      </c>
      <c r="D5" s="9" t="s">
        <v>26</v>
      </c>
      <c r="E5" s="9" t="s">
        <v>27</v>
      </c>
      <c r="F5" s="9" t="s">
        <v>28</v>
      </c>
      <c r="G5" s="10" t="s">
        <v>29</v>
      </c>
      <c r="H5" s="11" t="s">
        <v>30</v>
      </c>
      <c r="I5" s="11" t="s">
        <v>31</v>
      </c>
      <c r="J5" s="11" t="s">
        <v>32</v>
      </c>
      <c r="K5" s="11"/>
      <c r="L5" s="11" t="s">
        <v>31</v>
      </c>
      <c r="M5" s="11" t="s">
        <v>32</v>
      </c>
      <c r="N5" s="11"/>
      <c r="O5" s="11" t="s">
        <v>31</v>
      </c>
      <c r="P5" s="11" t="s">
        <v>32</v>
      </c>
      <c r="Q5" s="11"/>
      <c r="R5" s="11" t="s">
        <v>31</v>
      </c>
      <c r="S5" s="11" t="s">
        <v>32</v>
      </c>
      <c r="T5" s="11"/>
      <c r="U5" s="11" t="s">
        <v>31</v>
      </c>
      <c r="V5" s="11" t="s">
        <v>32</v>
      </c>
      <c r="W5" s="11"/>
      <c r="X5" s="11" t="s">
        <v>31</v>
      </c>
      <c r="Y5" s="11" t="s">
        <v>32</v>
      </c>
      <c r="Z5" s="11"/>
      <c r="AA5" s="11" t="s">
        <v>31</v>
      </c>
      <c r="AB5" s="11" t="s">
        <v>32</v>
      </c>
      <c r="AC5" s="11"/>
      <c r="AD5" s="11" t="s">
        <v>31</v>
      </c>
      <c r="AE5" s="11" t="s">
        <v>32</v>
      </c>
      <c r="AF5" s="11"/>
      <c r="AG5" s="11" t="s">
        <v>31</v>
      </c>
      <c r="AH5" s="11" t="s">
        <v>32</v>
      </c>
      <c r="AI5" s="11"/>
      <c r="AJ5" s="11" t="s">
        <v>31</v>
      </c>
      <c r="AK5" s="11" t="s">
        <v>32</v>
      </c>
      <c r="AL5" s="11"/>
      <c r="AM5" s="11" t="s">
        <v>31</v>
      </c>
      <c r="AN5" s="11" t="s">
        <v>32</v>
      </c>
      <c r="AO5" s="11"/>
      <c r="AP5" s="11" t="s">
        <v>31</v>
      </c>
      <c r="AQ5" s="11" t="s">
        <v>32</v>
      </c>
      <c r="AR5" s="11"/>
      <c r="AS5" s="11" t="s">
        <v>31</v>
      </c>
      <c r="AT5" s="11" t="s">
        <v>32</v>
      </c>
      <c r="AU5" s="11"/>
      <c r="AV5" s="11" t="s">
        <v>31</v>
      </c>
      <c r="AW5" s="11" t="s">
        <v>32</v>
      </c>
      <c r="AX5" s="11"/>
      <c r="AY5" s="11" t="s">
        <v>31</v>
      </c>
      <c r="AZ5" s="11" t="s">
        <v>32</v>
      </c>
      <c r="BA5" s="11"/>
      <c r="BB5" s="11" t="s">
        <v>31</v>
      </c>
      <c r="BC5" s="11" t="s">
        <v>32</v>
      </c>
      <c r="BD5" s="11"/>
      <c r="BE5" s="11" t="s">
        <v>31</v>
      </c>
      <c r="BF5" s="11" t="s">
        <v>32</v>
      </c>
      <c r="BG5" s="11"/>
      <c r="BH5" s="11" t="s">
        <v>31</v>
      </c>
      <c r="BI5" s="11" t="s">
        <v>32</v>
      </c>
      <c r="BJ5" s="11"/>
      <c r="BK5" s="11" t="s">
        <v>31</v>
      </c>
      <c r="BL5" s="11" t="s">
        <v>32</v>
      </c>
      <c r="BM5" s="11"/>
      <c r="BN5" s="11" t="s">
        <v>31</v>
      </c>
      <c r="BO5" s="11" t="s">
        <v>32</v>
      </c>
      <c r="BP5" s="11"/>
      <c r="BQ5" s="11" t="s">
        <v>31</v>
      </c>
      <c r="BR5" s="11" t="s">
        <v>32</v>
      </c>
      <c r="BS5" s="11"/>
      <c r="BT5" s="11" t="s">
        <v>31</v>
      </c>
      <c r="BU5" s="11" t="s">
        <v>32</v>
      </c>
      <c r="BV5" s="11"/>
      <c r="BW5" s="11" t="s">
        <v>31</v>
      </c>
      <c r="BX5" s="11" t="s">
        <v>32</v>
      </c>
      <c r="BY5" s="11"/>
      <c r="BZ5" s="11" t="s">
        <v>31</v>
      </c>
      <c r="CA5" s="11" t="s">
        <v>32</v>
      </c>
      <c r="CB5" s="11"/>
      <c r="CC5" s="11" t="s">
        <v>31</v>
      </c>
      <c r="CD5" s="11" t="s">
        <v>32</v>
      </c>
      <c r="CE5" s="11"/>
      <c r="CF5" s="11" t="s">
        <v>31</v>
      </c>
      <c r="CG5" s="11" t="s">
        <v>32</v>
      </c>
      <c r="CH5" s="11"/>
      <c r="CI5" s="11" t="s">
        <v>31</v>
      </c>
      <c r="CJ5" s="11" t="s">
        <v>32</v>
      </c>
    </row>
    <row r="6" ht="42" customHeight="1">
      <c r="A6" s="1"/>
      <c r="B6" s="29" t="s">
        <v>107</v>
      </c>
      <c r="C6" s="29" t="s">
        <v>108</v>
      </c>
      <c r="D6" s="14" t="s">
        <v>109</v>
      </c>
      <c r="E6" s="15" t="s">
        <v>70</v>
      </c>
      <c r="F6" s="15" t="s">
        <v>80</v>
      </c>
      <c r="G6" s="15" t="s">
        <v>110</v>
      </c>
      <c r="H6" s="15">
        <v>2</v>
      </c>
      <c r="I6" s="16"/>
      <c r="J6" s="16">
        <f t="shared" ref="J6:J16" si="53">H6-I6</f>
        <v>2</v>
      </c>
      <c r="K6" s="17"/>
      <c r="L6" s="16"/>
      <c r="M6" s="16">
        <f t="shared" ref="M6:M16" si="54">J6-L6</f>
        <v>2</v>
      </c>
      <c r="N6" s="17"/>
      <c r="O6" s="16"/>
      <c r="P6" s="16">
        <f t="shared" ref="P6:P16" si="55">M6-O6</f>
        <v>2</v>
      </c>
      <c r="Q6" s="17"/>
      <c r="R6" s="16"/>
      <c r="S6" s="16">
        <f t="shared" ref="S6:S16" si="56">P6-R6</f>
        <v>2</v>
      </c>
      <c r="T6" s="17"/>
      <c r="U6" s="16"/>
      <c r="V6" s="16">
        <f t="shared" ref="V6:V16" si="57">S6-U6</f>
        <v>2</v>
      </c>
      <c r="W6" s="17"/>
      <c r="X6" s="16"/>
      <c r="Y6" s="16">
        <f t="shared" ref="Y6:Y16" si="58">V6-X6</f>
        <v>2</v>
      </c>
      <c r="Z6" s="17"/>
      <c r="AA6" s="16"/>
      <c r="AB6" s="16">
        <f t="shared" ref="AB6:AB16" si="59">Y6-AA6</f>
        <v>2</v>
      </c>
      <c r="AC6" s="17"/>
      <c r="AD6" s="16"/>
      <c r="AE6" s="16">
        <f t="shared" ref="AE6:AE16" si="60">AB6-AD6</f>
        <v>2</v>
      </c>
      <c r="AF6" s="17"/>
      <c r="AG6" s="16"/>
      <c r="AH6" s="16">
        <f t="shared" ref="AH6:AH16" si="61">AE6-AG6</f>
        <v>2</v>
      </c>
      <c r="AI6" s="17"/>
      <c r="AJ6" s="16"/>
      <c r="AK6" s="16">
        <f t="shared" ref="AK6:AK16" si="62">AH6-AJ6</f>
        <v>2</v>
      </c>
      <c r="AL6" s="17"/>
      <c r="AM6" s="16"/>
      <c r="AN6" s="16">
        <f t="shared" ref="AN6:AN16" si="63">AK6-AM6</f>
        <v>2</v>
      </c>
      <c r="AO6" s="17"/>
      <c r="AP6" s="16"/>
      <c r="AQ6" s="16">
        <f t="shared" ref="AQ6:AQ16" si="64">AN6-AP6</f>
        <v>2</v>
      </c>
      <c r="AR6" s="17"/>
      <c r="AS6" s="16"/>
      <c r="AT6" s="16">
        <f t="shared" ref="AT6:AT16" si="65">AQ6-AS6</f>
        <v>2</v>
      </c>
      <c r="AU6" s="17"/>
      <c r="AV6" s="16"/>
      <c r="AW6" s="16">
        <f t="shared" ref="AW6:AW16" si="66">AT6-AV6</f>
        <v>2</v>
      </c>
      <c r="AX6" s="17"/>
      <c r="AY6" s="16"/>
      <c r="AZ6" s="16">
        <f t="shared" ref="AZ6:AZ16" si="67">AW6-AY6</f>
        <v>2</v>
      </c>
      <c r="BA6" s="17"/>
      <c r="BB6" s="16"/>
      <c r="BC6" s="16">
        <f t="shared" ref="BC6:BC16" si="68">AZ6-BB6</f>
        <v>2</v>
      </c>
      <c r="BD6" s="17"/>
      <c r="BE6" s="16"/>
      <c r="BF6" s="16">
        <f t="shared" ref="BF6:BF16" si="69">BC6-BE6</f>
        <v>2</v>
      </c>
      <c r="BG6" s="17"/>
      <c r="BH6" s="16"/>
      <c r="BI6" s="16">
        <f t="shared" ref="BI6:BI16" si="70">BF6-BH6</f>
        <v>2</v>
      </c>
      <c r="BJ6" s="17"/>
      <c r="BK6" s="16"/>
      <c r="BL6" s="16">
        <f t="shared" ref="BL6:BL16" si="71">BI6-BK6</f>
        <v>2</v>
      </c>
      <c r="BM6" s="17"/>
      <c r="BN6" s="16"/>
      <c r="BO6" s="16">
        <f t="shared" ref="BO6:BO16" si="72">BL6-BN6</f>
        <v>2</v>
      </c>
      <c r="BP6" s="17"/>
      <c r="BQ6" s="16"/>
      <c r="BR6" s="16">
        <f t="shared" ref="BR6:BR16" si="73">BO6-BQ6</f>
        <v>2</v>
      </c>
      <c r="BS6" s="17"/>
      <c r="BT6" s="16"/>
      <c r="BU6" s="16">
        <f t="shared" ref="BU6:BU16" si="74">BR6-BT6</f>
        <v>2</v>
      </c>
      <c r="BV6" s="17"/>
      <c r="BW6" s="16"/>
      <c r="BX6" s="16">
        <f t="shared" ref="BX6:BX16" si="75">BU6-BW6</f>
        <v>2</v>
      </c>
      <c r="BY6" s="17"/>
      <c r="BZ6" s="16"/>
      <c r="CA6" s="16">
        <f t="shared" ref="CA6:CA16" si="76">BX6-BZ6</f>
        <v>2</v>
      </c>
      <c r="CB6" s="17"/>
      <c r="CC6" s="16"/>
      <c r="CD6" s="16">
        <f t="shared" ref="CD6:CD16" si="77">CA6-CC6</f>
        <v>2</v>
      </c>
      <c r="CE6" s="17"/>
      <c r="CF6" s="16"/>
      <c r="CG6" s="16">
        <f t="shared" ref="CG6:CG16" si="78">CD6-CF6</f>
        <v>2</v>
      </c>
      <c r="CH6" s="17"/>
      <c r="CI6" s="18">
        <f t="shared" ref="CI6:CI16" si="79">I6+L6+O6+R6+U6+X6+AA6+AD6+AG6+AJ6+AM6+AP6+AS6+AV6+AY6+BB6+BE6+BH6+BK6+BN6+BQ6+BT6+BW6+BZ6+CC6+CF6</f>
        <v>0</v>
      </c>
      <c r="CJ6" s="18">
        <f t="shared" ref="CJ6:CJ16" si="80">H6-CI6</f>
        <v>2</v>
      </c>
    </row>
    <row r="7" ht="51.75" customHeight="1">
      <c r="A7" s="1"/>
      <c r="B7" s="30"/>
      <c r="C7" s="30"/>
      <c r="D7" s="14" t="s">
        <v>111</v>
      </c>
      <c r="E7" s="15" t="s">
        <v>70</v>
      </c>
      <c r="F7" s="15" t="s">
        <v>80</v>
      </c>
      <c r="G7" s="15" t="s">
        <v>112</v>
      </c>
      <c r="H7" s="15">
        <v>6</v>
      </c>
      <c r="I7" s="16"/>
      <c r="J7" s="16">
        <f t="shared" si="53"/>
        <v>6</v>
      </c>
      <c r="K7" s="17"/>
      <c r="L7" s="16"/>
      <c r="M7" s="16">
        <f t="shared" si="54"/>
        <v>6</v>
      </c>
      <c r="N7" s="17"/>
      <c r="O7" s="16"/>
      <c r="P7" s="16">
        <f t="shared" si="55"/>
        <v>6</v>
      </c>
      <c r="Q7" s="17"/>
      <c r="R7" s="16"/>
      <c r="S7" s="16">
        <f t="shared" si="56"/>
        <v>6</v>
      </c>
      <c r="T7" s="17"/>
      <c r="U7" s="16"/>
      <c r="V7" s="16">
        <f t="shared" si="57"/>
        <v>6</v>
      </c>
      <c r="W7" s="17"/>
      <c r="X7" s="16"/>
      <c r="Y7" s="16">
        <f t="shared" si="58"/>
        <v>6</v>
      </c>
      <c r="Z7" s="17"/>
      <c r="AA7" s="16"/>
      <c r="AB7" s="16">
        <f t="shared" si="59"/>
        <v>6</v>
      </c>
      <c r="AC7" s="17"/>
      <c r="AD7" s="16"/>
      <c r="AE7" s="16">
        <f t="shared" si="60"/>
        <v>6</v>
      </c>
      <c r="AF7" s="17"/>
      <c r="AG7" s="16"/>
      <c r="AH7" s="16">
        <f t="shared" si="61"/>
        <v>6</v>
      </c>
      <c r="AI7" s="17"/>
      <c r="AJ7" s="16"/>
      <c r="AK7" s="16">
        <f t="shared" si="62"/>
        <v>6</v>
      </c>
      <c r="AL7" s="17"/>
      <c r="AM7" s="16"/>
      <c r="AN7" s="16">
        <f t="shared" si="63"/>
        <v>6</v>
      </c>
      <c r="AO7" s="17"/>
      <c r="AP7" s="16"/>
      <c r="AQ7" s="16">
        <f t="shared" si="64"/>
        <v>6</v>
      </c>
      <c r="AR7" s="17"/>
      <c r="AS7" s="16"/>
      <c r="AT7" s="16">
        <f t="shared" si="65"/>
        <v>6</v>
      </c>
      <c r="AU7" s="17"/>
      <c r="AV7" s="16"/>
      <c r="AW7" s="16">
        <f t="shared" si="66"/>
        <v>6</v>
      </c>
      <c r="AX7" s="17"/>
      <c r="AY7" s="16"/>
      <c r="AZ7" s="16">
        <f t="shared" si="67"/>
        <v>6</v>
      </c>
      <c r="BA7" s="17"/>
      <c r="BB7" s="16"/>
      <c r="BC7" s="16">
        <f t="shared" si="68"/>
        <v>6</v>
      </c>
      <c r="BD7" s="17"/>
      <c r="BE7" s="16"/>
      <c r="BF7" s="16">
        <f t="shared" si="69"/>
        <v>6</v>
      </c>
      <c r="BG7" s="17"/>
      <c r="BH7" s="16"/>
      <c r="BI7" s="16">
        <f t="shared" si="70"/>
        <v>6</v>
      </c>
      <c r="BJ7" s="17"/>
      <c r="BK7" s="16"/>
      <c r="BL7" s="16">
        <f t="shared" si="71"/>
        <v>6</v>
      </c>
      <c r="BM7" s="17"/>
      <c r="BN7" s="16"/>
      <c r="BO7" s="16">
        <f t="shared" si="72"/>
        <v>6</v>
      </c>
      <c r="BP7" s="17"/>
      <c r="BQ7" s="16"/>
      <c r="BR7" s="16">
        <f t="shared" si="73"/>
        <v>6</v>
      </c>
      <c r="BS7" s="17"/>
      <c r="BT7" s="16"/>
      <c r="BU7" s="16">
        <f t="shared" si="74"/>
        <v>6</v>
      </c>
      <c r="BV7" s="17"/>
      <c r="BW7" s="16"/>
      <c r="BX7" s="16">
        <f t="shared" si="75"/>
        <v>6</v>
      </c>
      <c r="BY7" s="17"/>
      <c r="BZ7" s="16"/>
      <c r="CA7" s="16">
        <f t="shared" si="76"/>
        <v>6</v>
      </c>
      <c r="CB7" s="17"/>
      <c r="CC7" s="16"/>
      <c r="CD7" s="16">
        <f t="shared" si="77"/>
        <v>6</v>
      </c>
      <c r="CE7" s="17"/>
      <c r="CF7" s="16"/>
      <c r="CG7" s="16">
        <f t="shared" si="78"/>
        <v>6</v>
      </c>
      <c r="CH7" s="17"/>
      <c r="CI7" s="18">
        <f t="shared" si="79"/>
        <v>0</v>
      </c>
      <c r="CJ7" s="18">
        <f t="shared" si="80"/>
        <v>6</v>
      </c>
    </row>
    <row r="8" ht="28.5">
      <c r="A8" s="1"/>
      <c r="B8" s="30"/>
      <c r="C8" s="30"/>
      <c r="D8" s="14" t="s">
        <v>113</v>
      </c>
      <c r="E8" s="15" t="s">
        <v>36</v>
      </c>
      <c r="F8" s="15" t="s">
        <v>80</v>
      </c>
      <c r="G8" s="15" t="s">
        <v>114</v>
      </c>
      <c r="H8" s="15">
        <v>4</v>
      </c>
      <c r="I8" s="16"/>
      <c r="J8" s="16">
        <f t="shared" si="53"/>
        <v>4</v>
      </c>
      <c r="K8" s="17"/>
      <c r="L8" s="16"/>
      <c r="M8" s="16">
        <f t="shared" si="54"/>
        <v>4</v>
      </c>
      <c r="N8" s="17"/>
      <c r="O8" s="16"/>
      <c r="P8" s="16">
        <f t="shared" si="55"/>
        <v>4</v>
      </c>
      <c r="Q8" s="17"/>
      <c r="R8" s="16"/>
      <c r="S8" s="16">
        <f t="shared" si="56"/>
        <v>4</v>
      </c>
      <c r="T8" s="17"/>
      <c r="U8" s="16"/>
      <c r="V8" s="16">
        <f t="shared" si="57"/>
        <v>4</v>
      </c>
      <c r="W8" s="17"/>
      <c r="X8" s="16"/>
      <c r="Y8" s="16">
        <f t="shared" si="58"/>
        <v>4</v>
      </c>
      <c r="Z8" s="17"/>
      <c r="AA8" s="16"/>
      <c r="AB8" s="16">
        <f t="shared" si="59"/>
        <v>4</v>
      </c>
      <c r="AC8" s="17"/>
      <c r="AD8" s="16"/>
      <c r="AE8" s="16">
        <f t="shared" si="60"/>
        <v>4</v>
      </c>
      <c r="AF8" s="17"/>
      <c r="AG8" s="16"/>
      <c r="AH8" s="16">
        <f t="shared" si="61"/>
        <v>4</v>
      </c>
      <c r="AI8" s="17"/>
      <c r="AJ8" s="16"/>
      <c r="AK8" s="16">
        <f t="shared" si="62"/>
        <v>4</v>
      </c>
      <c r="AL8" s="17"/>
      <c r="AM8" s="16"/>
      <c r="AN8" s="16">
        <f t="shared" si="63"/>
        <v>4</v>
      </c>
      <c r="AO8" s="17"/>
      <c r="AP8" s="16"/>
      <c r="AQ8" s="16">
        <f t="shared" si="64"/>
        <v>4</v>
      </c>
      <c r="AR8" s="17"/>
      <c r="AS8" s="16"/>
      <c r="AT8" s="16">
        <f t="shared" si="65"/>
        <v>4</v>
      </c>
      <c r="AU8" s="17"/>
      <c r="AV8" s="16"/>
      <c r="AW8" s="16">
        <f t="shared" si="66"/>
        <v>4</v>
      </c>
      <c r="AX8" s="17"/>
      <c r="AY8" s="16"/>
      <c r="AZ8" s="16">
        <f t="shared" si="67"/>
        <v>4</v>
      </c>
      <c r="BA8" s="17"/>
      <c r="BB8" s="16"/>
      <c r="BC8" s="16">
        <f t="shared" si="68"/>
        <v>4</v>
      </c>
      <c r="BD8" s="17"/>
      <c r="BE8" s="16"/>
      <c r="BF8" s="16">
        <f t="shared" si="69"/>
        <v>4</v>
      </c>
      <c r="BG8" s="17"/>
      <c r="BH8" s="16"/>
      <c r="BI8" s="16">
        <f t="shared" si="70"/>
        <v>4</v>
      </c>
      <c r="BJ8" s="17"/>
      <c r="BK8" s="16"/>
      <c r="BL8" s="16">
        <f t="shared" si="71"/>
        <v>4</v>
      </c>
      <c r="BM8" s="17"/>
      <c r="BN8" s="16"/>
      <c r="BO8" s="16">
        <f t="shared" si="72"/>
        <v>4</v>
      </c>
      <c r="BP8" s="17"/>
      <c r="BQ8" s="16"/>
      <c r="BR8" s="16">
        <f t="shared" si="73"/>
        <v>4</v>
      </c>
      <c r="BS8" s="17"/>
      <c r="BT8" s="16"/>
      <c r="BU8" s="16">
        <f t="shared" si="74"/>
        <v>4</v>
      </c>
      <c r="BV8" s="17"/>
      <c r="BW8" s="16"/>
      <c r="BX8" s="16">
        <f t="shared" si="75"/>
        <v>4</v>
      </c>
      <c r="BY8" s="17"/>
      <c r="BZ8" s="16"/>
      <c r="CA8" s="16">
        <f t="shared" si="76"/>
        <v>4</v>
      </c>
      <c r="CB8" s="17"/>
      <c r="CC8" s="16"/>
      <c r="CD8" s="16">
        <f t="shared" si="77"/>
        <v>4</v>
      </c>
      <c r="CE8" s="17"/>
      <c r="CF8" s="16"/>
      <c r="CG8" s="16">
        <f t="shared" si="78"/>
        <v>4</v>
      </c>
      <c r="CH8" s="17"/>
      <c r="CI8" s="18">
        <f t="shared" si="79"/>
        <v>0</v>
      </c>
      <c r="CJ8" s="18">
        <f t="shared" si="80"/>
        <v>4</v>
      </c>
    </row>
    <row r="9" ht="28.5">
      <c r="A9" s="1"/>
      <c r="B9" s="30"/>
      <c r="C9" s="30"/>
      <c r="D9" s="14" t="s">
        <v>115</v>
      </c>
      <c r="E9" s="15" t="s">
        <v>70</v>
      </c>
      <c r="F9" s="15" t="s">
        <v>80</v>
      </c>
      <c r="G9" s="15" t="s">
        <v>116</v>
      </c>
      <c r="H9" s="15">
        <v>2</v>
      </c>
      <c r="I9" s="16"/>
      <c r="J9" s="16">
        <f>H9-I9</f>
        <v>2</v>
      </c>
      <c r="K9" s="17"/>
      <c r="L9" s="16"/>
      <c r="M9" s="16">
        <f>J9-L9</f>
        <v>2</v>
      </c>
      <c r="N9" s="17"/>
      <c r="O9" s="16"/>
      <c r="P9" s="16">
        <f>M9-O9</f>
        <v>2</v>
      </c>
      <c r="Q9" s="17"/>
      <c r="R9" s="16"/>
      <c r="S9" s="16"/>
      <c r="T9" s="17"/>
      <c r="U9" s="16"/>
      <c r="V9" s="16"/>
      <c r="W9" s="17"/>
      <c r="X9" s="16"/>
      <c r="Y9" s="16"/>
      <c r="Z9" s="17"/>
      <c r="AA9" s="16"/>
      <c r="AB9" s="16"/>
      <c r="AC9" s="17"/>
      <c r="AD9" s="16"/>
      <c r="AE9" s="16"/>
      <c r="AF9" s="17"/>
      <c r="AG9" s="16"/>
      <c r="AH9" s="16"/>
      <c r="AI9" s="17"/>
      <c r="AJ9" s="16"/>
      <c r="AK9" s="16"/>
      <c r="AL9" s="17"/>
      <c r="AM9" s="16"/>
      <c r="AN9" s="16"/>
      <c r="AO9" s="17"/>
      <c r="AP9" s="16"/>
      <c r="AQ9" s="16"/>
      <c r="AR9" s="17"/>
      <c r="AS9" s="16"/>
      <c r="AT9" s="16"/>
      <c r="AU9" s="17"/>
      <c r="AV9" s="16"/>
      <c r="AW9" s="16"/>
      <c r="AX9" s="17"/>
      <c r="AY9" s="16"/>
      <c r="AZ9" s="16"/>
      <c r="BA9" s="17"/>
      <c r="BB9" s="16"/>
      <c r="BC9" s="16"/>
      <c r="BD9" s="17"/>
      <c r="BE9" s="16"/>
      <c r="BF9" s="16"/>
      <c r="BG9" s="17"/>
      <c r="BH9" s="16"/>
      <c r="BI9" s="16"/>
      <c r="BJ9" s="17"/>
      <c r="BK9" s="16"/>
      <c r="BL9" s="16"/>
      <c r="BM9" s="17"/>
      <c r="BN9" s="16"/>
      <c r="BO9" s="16"/>
      <c r="BP9" s="17"/>
      <c r="BQ9" s="16"/>
      <c r="BR9" s="16"/>
      <c r="BS9" s="17"/>
      <c r="BT9" s="16"/>
      <c r="BU9" s="16">
        <f>BR9-BT9</f>
        <v>0</v>
      </c>
      <c r="BV9" s="17"/>
      <c r="BW9" s="16"/>
      <c r="BX9" s="16">
        <f>BU9-BW9</f>
        <v>0</v>
      </c>
      <c r="BY9" s="17"/>
      <c r="BZ9" s="16"/>
      <c r="CA9" s="16">
        <f>BX9-BZ9</f>
        <v>0</v>
      </c>
      <c r="CB9" s="17"/>
      <c r="CC9" s="16"/>
      <c r="CD9" s="16">
        <f>CA9-CC9</f>
        <v>0</v>
      </c>
      <c r="CE9" s="17"/>
      <c r="CF9" s="16"/>
      <c r="CG9" s="16">
        <f>CD9-CF9</f>
        <v>0</v>
      </c>
      <c r="CH9" s="17"/>
      <c r="CI9" s="18"/>
      <c r="CJ9" s="18"/>
    </row>
    <row r="10" ht="56.25" customHeight="1">
      <c r="A10" s="1"/>
      <c r="B10" s="12" t="s">
        <v>117</v>
      </c>
      <c r="C10" s="13" t="s">
        <v>118</v>
      </c>
      <c r="D10" s="14" t="s">
        <v>119</v>
      </c>
      <c r="E10" s="15" t="s">
        <v>67</v>
      </c>
      <c r="F10" s="15" t="s">
        <v>80</v>
      </c>
      <c r="G10" s="15" t="s">
        <v>120</v>
      </c>
      <c r="H10" s="15">
        <v>2</v>
      </c>
      <c r="I10" s="16"/>
      <c r="J10" s="16">
        <f t="shared" si="53"/>
        <v>2</v>
      </c>
      <c r="K10" s="17"/>
      <c r="L10" s="16"/>
      <c r="M10" s="16">
        <f t="shared" si="54"/>
        <v>2</v>
      </c>
      <c r="N10" s="17"/>
      <c r="O10" s="16"/>
      <c r="P10" s="16">
        <f t="shared" si="55"/>
        <v>2</v>
      </c>
      <c r="Q10" s="17"/>
      <c r="R10" s="16"/>
      <c r="S10" s="16">
        <f t="shared" si="56"/>
        <v>2</v>
      </c>
      <c r="T10" s="17"/>
      <c r="U10" s="16"/>
      <c r="V10" s="16">
        <f t="shared" si="57"/>
        <v>2</v>
      </c>
      <c r="W10" s="17"/>
      <c r="X10" s="16"/>
      <c r="Y10" s="16">
        <f t="shared" si="58"/>
        <v>2</v>
      </c>
      <c r="Z10" s="17"/>
      <c r="AA10" s="16"/>
      <c r="AB10" s="16">
        <f t="shared" si="59"/>
        <v>2</v>
      </c>
      <c r="AC10" s="17"/>
      <c r="AD10" s="16"/>
      <c r="AE10" s="16">
        <f t="shared" si="60"/>
        <v>2</v>
      </c>
      <c r="AF10" s="17"/>
      <c r="AG10" s="16"/>
      <c r="AH10" s="16">
        <f t="shared" si="61"/>
        <v>2</v>
      </c>
      <c r="AI10" s="17"/>
      <c r="AJ10" s="16"/>
      <c r="AK10" s="16">
        <f t="shared" si="62"/>
        <v>2</v>
      </c>
      <c r="AL10" s="17"/>
      <c r="AM10" s="16"/>
      <c r="AN10" s="16">
        <f t="shared" si="63"/>
        <v>2</v>
      </c>
      <c r="AO10" s="17"/>
      <c r="AP10" s="16"/>
      <c r="AQ10" s="16">
        <f t="shared" si="64"/>
        <v>2</v>
      </c>
      <c r="AR10" s="17"/>
      <c r="AS10" s="16"/>
      <c r="AT10" s="16">
        <f t="shared" si="65"/>
        <v>2</v>
      </c>
      <c r="AU10" s="17"/>
      <c r="AV10" s="16"/>
      <c r="AW10" s="16">
        <f t="shared" si="66"/>
        <v>2</v>
      </c>
      <c r="AX10" s="17"/>
      <c r="AY10" s="16"/>
      <c r="AZ10" s="16">
        <f t="shared" si="67"/>
        <v>2</v>
      </c>
      <c r="BA10" s="17"/>
      <c r="BB10" s="16"/>
      <c r="BC10" s="16">
        <f t="shared" si="68"/>
        <v>2</v>
      </c>
      <c r="BD10" s="17"/>
      <c r="BE10" s="16"/>
      <c r="BF10" s="16">
        <f t="shared" si="69"/>
        <v>2</v>
      </c>
      <c r="BG10" s="17"/>
      <c r="BH10" s="16"/>
      <c r="BI10" s="16">
        <f t="shared" si="70"/>
        <v>2</v>
      </c>
      <c r="BJ10" s="17"/>
      <c r="BK10" s="16"/>
      <c r="BL10" s="16">
        <f t="shared" si="71"/>
        <v>2</v>
      </c>
      <c r="BM10" s="17"/>
      <c r="BN10" s="16"/>
      <c r="BO10" s="16">
        <f t="shared" si="72"/>
        <v>2</v>
      </c>
      <c r="BP10" s="17"/>
      <c r="BQ10" s="16"/>
      <c r="BR10" s="16">
        <f t="shared" si="73"/>
        <v>2</v>
      </c>
      <c r="BS10" s="17"/>
      <c r="BT10" s="16"/>
      <c r="BU10" s="16">
        <f t="shared" si="74"/>
        <v>2</v>
      </c>
      <c r="BV10" s="17"/>
      <c r="BW10" s="16"/>
      <c r="BX10" s="16">
        <f t="shared" si="75"/>
        <v>2</v>
      </c>
      <c r="BY10" s="17"/>
      <c r="BZ10" s="16"/>
      <c r="CA10" s="16">
        <f t="shared" si="76"/>
        <v>2</v>
      </c>
      <c r="CB10" s="17"/>
      <c r="CC10" s="16"/>
      <c r="CD10" s="16">
        <f t="shared" si="77"/>
        <v>2</v>
      </c>
      <c r="CE10" s="17"/>
      <c r="CF10" s="16"/>
      <c r="CG10" s="16">
        <f t="shared" si="78"/>
        <v>2</v>
      </c>
      <c r="CH10" s="17"/>
      <c r="CI10" s="18">
        <f t="shared" si="79"/>
        <v>0</v>
      </c>
      <c r="CJ10" s="18">
        <f t="shared" si="80"/>
        <v>2</v>
      </c>
    </row>
    <row r="11" ht="69.75" customHeight="1">
      <c r="A11" s="1"/>
      <c r="B11" s="19"/>
      <c r="C11" s="19"/>
      <c r="D11" s="14" t="s">
        <v>121</v>
      </c>
      <c r="E11" s="15" t="s">
        <v>67</v>
      </c>
      <c r="F11" s="15" t="s">
        <v>80</v>
      </c>
      <c r="G11" s="15" t="s">
        <v>122</v>
      </c>
      <c r="H11" s="15">
        <v>2</v>
      </c>
      <c r="I11" s="16"/>
      <c r="J11" s="16">
        <f t="shared" si="53"/>
        <v>2</v>
      </c>
      <c r="K11" s="17"/>
      <c r="L11" s="16"/>
      <c r="M11" s="16">
        <f t="shared" si="54"/>
        <v>2</v>
      </c>
      <c r="N11" s="17"/>
      <c r="O11" s="16"/>
      <c r="P11" s="16">
        <f t="shared" si="55"/>
        <v>2</v>
      </c>
      <c r="Q11" s="17"/>
      <c r="R11" s="16"/>
      <c r="S11" s="16">
        <f t="shared" si="56"/>
        <v>2</v>
      </c>
      <c r="T11" s="17"/>
      <c r="U11" s="16"/>
      <c r="V11" s="16">
        <f t="shared" si="57"/>
        <v>2</v>
      </c>
      <c r="W11" s="17"/>
      <c r="X11" s="16"/>
      <c r="Y11" s="16">
        <f t="shared" si="58"/>
        <v>2</v>
      </c>
      <c r="Z11" s="17"/>
      <c r="AA11" s="16"/>
      <c r="AB11" s="16">
        <f t="shared" si="59"/>
        <v>2</v>
      </c>
      <c r="AC11" s="17"/>
      <c r="AD11" s="16"/>
      <c r="AE11" s="16">
        <f t="shared" si="60"/>
        <v>2</v>
      </c>
      <c r="AF11" s="17"/>
      <c r="AG11" s="16"/>
      <c r="AH11" s="16">
        <f t="shared" si="61"/>
        <v>2</v>
      </c>
      <c r="AI11" s="17"/>
      <c r="AJ11" s="16"/>
      <c r="AK11" s="16">
        <f t="shared" si="62"/>
        <v>2</v>
      </c>
      <c r="AL11" s="17"/>
      <c r="AM11" s="16"/>
      <c r="AN11" s="16">
        <f t="shared" si="63"/>
        <v>2</v>
      </c>
      <c r="AO11" s="17"/>
      <c r="AP11" s="16"/>
      <c r="AQ11" s="16">
        <f t="shared" si="64"/>
        <v>2</v>
      </c>
      <c r="AR11" s="17"/>
      <c r="AS11" s="16"/>
      <c r="AT11" s="16">
        <f t="shared" si="65"/>
        <v>2</v>
      </c>
      <c r="AU11" s="17"/>
      <c r="AV11" s="16"/>
      <c r="AW11" s="16">
        <f t="shared" si="66"/>
        <v>2</v>
      </c>
      <c r="AX11" s="17"/>
      <c r="AY11" s="16"/>
      <c r="AZ11" s="16">
        <f t="shared" si="67"/>
        <v>2</v>
      </c>
      <c r="BA11" s="17"/>
      <c r="BB11" s="16"/>
      <c r="BC11" s="16">
        <f t="shared" si="68"/>
        <v>2</v>
      </c>
      <c r="BD11" s="17"/>
      <c r="BE11" s="16"/>
      <c r="BF11" s="16">
        <f t="shared" si="69"/>
        <v>2</v>
      </c>
      <c r="BG11" s="17"/>
      <c r="BH11" s="16"/>
      <c r="BI11" s="16">
        <f t="shared" si="70"/>
        <v>2</v>
      </c>
      <c r="BJ11" s="17"/>
      <c r="BK11" s="16"/>
      <c r="BL11" s="16">
        <f t="shared" si="71"/>
        <v>2</v>
      </c>
      <c r="BM11" s="17"/>
      <c r="BN11" s="16"/>
      <c r="BO11" s="16">
        <f t="shared" si="72"/>
        <v>2</v>
      </c>
      <c r="BP11" s="17"/>
      <c r="BQ11" s="16"/>
      <c r="BR11" s="16">
        <f t="shared" si="73"/>
        <v>2</v>
      </c>
      <c r="BS11" s="17"/>
      <c r="BT11" s="16"/>
      <c r="BU11" s="16">
        <f t="shared" si="74"/>
        <v>2</v>
      </c>
      <c r="BV11" s="17"/>
      <c r="BW11" s="16"/>
      <c r="BX11" s="16">
        <f t="shared" si="75"/>
        <v>2</v>
      </c>
      <c r="BY11" s="17"/>
      <c r="BZ11" s="16"/>
      <c r="CA11" s="16">
        <f t="shared" si="76"/>
        <v>2</v>
      </c>
      <c r="CB11" s="17"/>
      <c r="CC11" s="16"/>
      <c r="CD11" s="16">
        <f t="shared" si="77"/>
        <v>2</v>
      </c>
      <c r="CE11" s="17"/>
      <c r="CF11" s="16"/>
      <c r="CG11" s="16">
        <f t="shared" si="78"/>
        <v>2</v>
      </c>
      <c r="CH11" s="17"/>
      <c r="CI11" s="18">
        <f t="shared" si="79"/>
        <v>0</v>
      </c>
      <c r="CJ11" s="18">
        <f t="shared" si="80"/>
        <v>2</v>
      </c>
    </row>
    <row r="12" ht="69.75" customHeight="1">
      <c r="A12" s="1"/>
      <c r="B12" s="21"/>
      <c r="C12" s="21"/>
      <c r="D12" s="14" t="s">
        <v>123</v>
      </c>
      <c r="E12" s="15" t="s">
        <v>70</v>
      </c>
      <c r="F12" s="15" t="s">
        <v>80</v>
      </c>
      <c r="G12" s="15" t="s">
        <v>124</v>
      </c>
      <c r="H12" s="15">
        <v>2</v>
      </c>
      <c r="I12" s="16"/>
      <c r="J12" s="16">
        <f t="shared" si="53"/>
        <v>2</v>
      </c>
      <c r="K12" s="17"/>
      <c r="L12" s="16"/>
      <c r="M12" s="16">
        <f t="shared" si="54"/>
        <v>2</v>
      </c>
      <c r="N12" s="17"/>
      <c r="O12" s="16"/>
      <c r="P12" s="16">
        <f t="shared" si="55"/>
        <v>2</v>
      </c>
      <c r="Q12" s="17"/>
      <c r="R12" s="16"/>
      <c r="S12" s="16">
        <f t="shared" si="56"/>
        <v>2</v>
      </c>
      <c r="T12" s="17"/>
      <c r="U12" s="16"/>
      <c r="V12" s="16">
        <f t="shared" si="57"/>
        <v>2</v>
      </c>
      <c r="W12" s="17"/>
      <c r="X12" s="16"/>
      <c r="Y12" s="16">
        <f t="shared" si="58"/>
        <v>2</v>
      </c>
      <c r="Z12" s="17"/>
      <c r="AA12" s="16"/>
      <c r="AB12" s="16">
        <f t="shared" si="59"/>
        <v>2</v>
      </c>
      <c r="AC12" s="17"/>
      <c r="AD12" s="16"/>
      <c r="AE12" s="16">
        <f t="shared" si="60"/>
        <v>2</v>
      </c>
      <c r="AF12" s="17"/>
      <c r="AG12" s="16"/>
      <c r="AH12" s="16">
        <f t="shared" si="61"/>
        <v>2</v>
      </c>
      <c r="AI12" s="17"/>
      <c r="AJ12" s="16"/>
      <c r="AK12" s="16">
        <f t="shared" si="62"/>
        <v>2</v>
      </c>
      <c r="AL12" s="17"/>
      <c r="AM12" s="16"/>
      <c r="AN12" s="16">
        <f t="shared" si="63"/>
        <v>2</v>
      </c>
      <c r="AO12" s="17"/>
      <c r="AP12" s="16"/>
      <c r="AQ12" s="16">
        <f t="shared" si="64"/>
        <v>2</v>
      </c>
      <c r="AR12" s="17"/>
      <c r="AS12" s="16"/>
      <c r="AT12" s="16">
        <f t="shared" si="65"/>
        <v>2</v>
      </c>
      <c r="AU12" s="17"/>
      <c r="AV12" s="16"/>
      <c r="AW12" s="16">
        <f t="shared" si="66"/>
        <v>2</v>
      </c>
      <c r="AX12" s="17"/>
      <c r="AY12" s="16"/>
      <c r="AZ12" s="16">
        <f t="shared" si="67"/>
        <v>2</v>
      </c>
      <c r="BA12" s="17"/>
      <c r="BB12" s="16"/>
      <c r="BC12" s="16">
        <f t="shared" si="68"/>
        <v>2</v>
      </c>
      <c r="BD12" s="17"/>
      <c r="BE12" s="16"/>
      <c r="BF12" s="16">
        <f t="shared" si="69"/>
        <v>2</v>
      </c>
      <c r="BG12" s="17"/>
      <c r="BH12" s="16"/>
      <c r="BI12" s="16">
        <f t="shared" si="70"/>
        <v>2</v>
      </c>
      <c r="BJ12" s="17"/>
      <c r="BK12" s="16"/>
      <c r="BL12" s="16">
        <f t="shared" si="71"/>
        <v>2</v>
      </c>
      <c r="BM12" s="17"/>
      <c r="BN12" s="16"/>
      <c r="BO12" s="16">
        <f t="shared" si="72"/>
        <v>2</v>
      </c>
      <c r="BP12" s="17"/>
      <c r="BQ12" s="16"/>
      <c r="BR12" s="16">
        <f t="shared" si="73"/>
        <v>2</v>
      </c>
      <c r="BS12" s="17"/>
      <c r="BT12" s="16"/>
      <c r="BU12" s="16">
        <f t="shared" si="74"/>
        <v>2</v>
      </c>
      <c r="BV12" s="17"/>
      <c r="BW12" s="16"/>
      <c r="BX12" s="16">
        <f t="shared" si="75"/>
        <v>2</v>
      </c>
      <c r="BY12" s="17"/>
      <c r="BZ12" s="16"/>
      <c r="CA12" s="16">
        <f t="shared" si="76"/>
        <v>2</v>
      </c>
      <c r="CB12" s="17"/>
      <c r="CC12" s="16"/>
      <c r="CD12" s="16">
        <f t="shared" si="77"/>
        <v>2</v>
      </c>
      <c r="CE12" s="17"/>
      <c r="CF12" s="16"/>
      <c r="CG12" s="16">
        <f t="shared" si="78"/>
        <v>2</v>
      </c>
      <c r="CH12" s="17"/>
      <c r="CI12" s="18">
        <f t="shared" si="79"/>
        <v>0</v>
      </c>
      <c r="CJ12" s="18">
        <f t="shared" si="80"/>
        <v>2</v>
      </c>
    </row>
    <row r="13" ht="73.5" customHeight="1">
      <c r="A13" s="1"/>
      <c r="B13" s="12" t="s">
        <v>125</v>
      </c>
      <c r="C13" s="13" t="s">
        <v>126</v>
      </c>
      <c r="D13" s="14" t="s">
        <v>127</v>
      </c>
      <c r="E13" s="15" t="s">
        <v>36</v>
      </c>
      <c r="F13" s="15" t="s">
        <v>80</v>
      </c>
      <c r="G13" s="15" t="s">
        <v>128</v>
      </c>
      <c r="H13" s="15">
        <v>2</v>
      </c>
      <c r="I13" s="16"/>
      <c r="J13" s="16">
        <f t="shared" si="53"/>
        <v>2</v>
      </c>
      <c r="K13" s="17"/>
      <c r="L13" s="16"/>
      <c r="M13" s="16">
        <f t="shared" si="54"/>
        <v>2</v>
      </c>
      <c r="N13" s="17"/>
      <c r="O13" s="16"/>
      <c r="P13" s="16">
        <f t="shared" si="55"/>
        <v>2</v>
      </c>
      <c r="Q13" s="17"/>
      <c r="R13" s="16"/>
      <c r="S13" s="16">
        <f t="shared" si="56"/>
        <v>2</v>
      </c>
      <c r="T13" s="17"/>
      <c r="U13" s="16"/>
      <c r="V13" s="16">
        <f t="shared" si="57"/>
        <v>2</v>
      </c>
      <c r="W13" s="17"/>
      <c r="X13" s="16"/>
      <c r="Y13" s="16">
        <f t="shared" si="58"/>
        <v>2</v>
      </c>
      <c r="Z13" s="17"/>
      <c r="AA13" s="16"/>
      <c r="AB13" s="16">
        <f t="shared" si="59"/>
        <v>2</v>
      </c>
      <c r="AC13" s="17"/>
      <c r="AD13" s="16"/>
      <c r="AE13" s="16">
        <f t="shared" si="60"/>
        <v>2</v>
      </c>
      <c r="AF13" s="17"/>
      <c r="AG13" s="16"/>
      <c r="AH13" s="16">
        <f t="shared" si="61"/>
        <v>2</v>
      </c>
      <c r="AI13" s="17"/>
      <c r="AJ13" s="16"/>
      <c r="AK13" s="16">
        <f t="shared" si="62"/>
        <v>2</v>
      </c>
      <c r="AL13" s="17"/>
      <c r="AM13" s="16"/>
      <c r="AN13" s="16">
        <f t="shared" si="63"/>
        <v>2</v>
      </c>
      <c r="AO13" s="17"/>
      <c r="AP13" s="16"/>
      <c r="AQ13" s="16">
        <f t="shared" si="64"/>
        <v>2</v>
      </c>
      <c r="AR13" s="17"/>
      <c r="AS13" s="16"/>
      <c r="AT13" s="16">
        <f t="shared" si="65"/>
        <v>2</v>
      </c>
      <c r="AU13" s="17"/>
      <c r="AV13" s="16"/>
      <c r="AW13" s="16">
        <f t="shared" si="66"/>
        <v>2</v>
      </c>
      <c r="AX13" s="17"/>
      <c r="AY13" s="16"/>
      <c r="AZ13" s="16">
        <f t="shared" si="67"/>
        <v>2</v>
      </c>
      <c r="BA13" s="17"/>
      <c r="BB13" s="16"/>
      <c r="BC13" s="16">
        <f t="shared" si="68"/>
        <v>2</v>
      </c>
      <c r="BD13" s="17"/>
      <c r="BE13" s="16"/>
      <c r="BF13" s="16">
        <f t="shared" si="69"/>
        <v>2</v>
      </c>
      <c r="BG13" s="17"/>
      <c r="BH13" s="16"/>
      <c r="BI13" s="16">
        <f t="shared" si="70"/>
        <v>2</v>
      </c>
      <c r="BJ13" s="17"/>
      <c r="BK13" s="16"/>
      <c r="BL13" s="16">
        <f t="shared" si="71"/>
        <v>2</v>
      </c>
      <c r="BM13" s="17"/>
      <c r="BN13" s="16"/>
      <c r="BO13" s="16">
        <f t="shared" si="72"/>
        <v>2</v>
      </c>
      <c r="BP13" s="17"/>
      <c r="BQ13" s="16"/>
      <c r="BR13" s="16">
        <f t="shared" si="73"/>
        <v>2</v>
      </c>
      <c r="BS13" s="17"/>
      <c r="BT13" s="16"/>
      <c r="BU13" s="16">
        <f t="shared" si="74"/>
        <v>2</v>
      </c>
      <c r="BV13" s="17"/>
      <c r="BW13" s="16"/>
      <c r="BX13" s="16">
        <f t="shared" si="75"/>
        <v>2</v>
      </c>
      <c r="BY13" s="17"/>
      <c r="BZ13" s="16"/>
      <c r="CA13" s="16">
        <f t="shared" si="76"/>
        <v>2</v>
      </c>
      <c r="CB13" s="17"/>
      <c r="CC13" s="16"/>
      <c r="CD13" s="16">
        <f t="shared" si="77"/>
        <v>2</v>
      </c>
      <c r="CE13" s="17"/>
      <c r="CF13" s="16"/>
      <c r="CG13" s="16">
        <f t="shared" si="78"/>
        <v>2</v>
      </c>
      <c r="CH13" s="17"/>
      <c r="CI13" s="18">
        <f t="shared" si="79"/>
        <v>0</v>
      </c>
      <c r="CJ13" s="18">
        <f t="shared" si="80"/>
        <v>2</v>
      </c>
    </row>
    <row r="14" ht="51" customHeight="1">
      <c r="A14" s="1"/>
      <c r="B14" s="21"/>
      <c r="C14" s="21"/>
      <c r="D14" s="14" t="s">
        <v>129</v>
      </c>
      <c r="E14" s="15" t="s">
        <v>36</v>
      </c>
      <c r="F14" s="15" t="s">
        <v>80</v>
      </c>
      <c r="G14" s="15" t="s">
        <v>130</v>
      </c>
      <c r="H14" s="15">
        <v>1</v>
      </c>
      <c r="I14" s="16"/>
      <c r="J14" s="16">
        <f t="shared" si="53"/>
        <v>1</v>
      </c>
      <c r="K14" s="17"/>
      <c r="L14" s="16"/>
      <c r="M14" s="16">
        <f t="shared" si="54"/>
        <v>1</v>
      </c>
      <c r="N14" s="17"/>
      <c r="O14" s="16"/>
      <c r="P14" s="16">
        <f t="shared" si="55"/>
        <v>1</v>
      </c>
      <c r="Q14" s="17"/>
      <c r="R14" s="16"/>
      <c r="S14" s="16">
        <f t="shared" si="56"/>
        <v>1</v>
      </c>
      <c r="T14" s="17"/>
      <c r="U14" s="16"/>
      <c r="V14" s="16">
        <f t="shared" si="57"/>
        <v>1</v>
      </c>
      <c r="W14" s="17"/>
      <c r="X14" s="16"/>
      <c r="Y14" s="16">
        <f t="shared" si="58"/>
        <v>1</v>
      </c>
      <c r="Z14" s="17"/>
      <c r="AA14" s="16"/>
      <c r="AB14" s="16">
        <f t="shared" si="59"/>
        <v>1</v>
      </c>
      <c r="AC14" s="17"/>
      <c r="AD14" s="16"/>
      <c r="AE14" s="16">
        <f t="shared" si="60"/>
        <v>1</v>
      </c>
      <c r="AF14" s="17"/>
      <c r="AG14" s="16"/>
      <c r="AH14" s="16">
        <f t="shared" si="61"/>
        <v>1</v>
      </c>
      <c r="AI14" s="17"/>
      <c r="AJ14" s="16"/>
      <c r="AK14" s="16">
        <f t="shared" si="62"/>
        <v>1</v>
      </c>
      <c r="AL14" s="17"/>
      <c r="AM14" s="16"/>
      <c r="AN14" s="16">
        <f t="shared" si="63"/>
        <v>1</v>
      </c>
      <c r="AO14" s="17"/>
      <c r="AP14" s="16"/>
      <c r="AQ14" s="16">
        <f t="shared" si="64"/>
        <v>1</v>
      </c>
      <c r="AR14" s="17"/>
      <c r="AS14" s="16"/>
      <c r="AT14" s="16">
        <f t="shared" si="65"/>
        <v>1</v>
      </c>
      <c r="AU14" s="17"/>
      <c r="AV14" s="16"/>
      <c r="AW14" s="16">
        <f t="shared" si="66"/>
        <v>1</v>
      </c>
      <c r="AX14" s="17"/>
      <c r="AY14" s="16"/>
      <c r="AZ14" s="16">
        <f t="shared" si="67"/>
        <v>1</v>
      </c>
      <c r="BA14" s="17"/>
      <c r="BB14" s="16"/>
      <c r="BC14" s="16">
        <f t="shared" si="68"/>
        <v>1</v>
      </c>
      <c r="BD14" s="17"/>
      <c r="BE14" s="16"/>
      <c r="BF14" s="16">
        <f t="shared" si="69"/>
        <v>1</v>
      </c>
      <c r="BG14" s="17"/>
      <c r="BH14" s="16"/>
      <c r="BI14" s="16">
        <f t="shared" si="70"/>
        <v>1</v>
      </c>
      <c r="BJ14" s="17"/>
      <c r="BK14" s="16"/>
      <c r="BL14" s="16">
        <f t="shared" si="71"/>
        <v>1</v>
      </c>
      <c r="BM14" s="17"/>
      <c r="BN14" s="16"/>
      <c r="BO14" s="16">
        <f t="shared" si="72"/>
        <v>1</v>
      </c>
      <c r="BP14" s="17"/>
      <c r="BQ14" s="16"/>
      <c r="BR14" s="16">
        <f t="shared" si="73"/>
        <v>1</v>
      </c>
      <c r="BS14" s="17"/>
      <c r="BT14" s="16"/>
      <c r="BU14" s="16">
        <f t="shared" si="74"/>
        <v>1</v>
      </c>
      <c r="BV14" s="17"/>
      <c r="BW14" s="16"/>
      <c r="BX14" s="16">
        <f t="shared" si="75"/>
        <v>1</v>
      </c>
      <c r="BY14" s="17"/>
      <c r="BZ14" s="16"/>
      <c r="CA14" s="16">
        <f t="shared" si="76"/>
        <v>1</v>
      </c>
      <c r="CB14" s="17"/>
      <c r="CC14" s="16"/>
      <c r="CD14" s="16">
        <f t="shared" si="77"/>
        <v>1</v>
      </c>
      <c r="CE14" s="17"/>
      <c r="CF14" s="16"/>
      <c r="CG14" s="16">
        <f t="shared" si="78"/>
        <v>1</v>
      </c>
      <c r="CH14" s="17"/>
      <c r="CI14" s="18">
        <f t="shared" si="79"/>
        <v>0</v>
      </c>
      <c r="CJ14" s="18">
        <f t="shared" si="80"/>
        <v>1</v>
      </c>
    </row>
    <row r="15" ht="63" customHeight="1">
      <c r="A15" s="1"/>
      <c r="B15" s="12" t="s">
        <v>131</v>
      </c>
      <c r="C15" s="13" t="s">
        <v>132</v>
      </c>
      <c r="D15" s="14" t="s">
        <v>133</v>
      </c>
      <c r="E15" s="15" t="s">
        <v>36</v>
      </c>
      <c r="F15" s="15" t="s">
        <v>80</v>
      </c>
      <c r="G15" s="15" t="s">
        <v>134</v>
      </c>
      <c r="H15" s="15">
        <v>3</v>
      </c>
      <c r="I15" s="16"/>
      <c r="J15" s="16">
        <f t="shared" si="53"/>
        <v>3</v>
      </c>
      <c r="K15" s="17"/>
      <c r="L15" s="16"/>
      <c r="M15" s="16">
        <f t="shared" si="54"/>
        <v>3</v>
      </c>
      <c r="N15" s="17"/>
      <c r="O15" s="16"/>
      <c r="P15" s="16">
        <f t="shared" si="55"/>
        <v>3</v>
      </c>
      <c r="Q15" s="17"/>
      <c r="R15" s="16"/>
      <c r="S15" s="16">
        <f t="shared" si="56"/>
        <v>3</v>
      </c>
      <c r="T15" s="17"/>
      <c r="U15" s="16"/>
      <c r="V15" s="16">
        <f t="shared" si="57"/>
        <v>3</v>
      </c>
      <c r="W15" s="17"/>
      <c r="X15" s="16"/>
      <c r="Y15" s="16">
        <f t="shared" si="58"/>
        <v>3</v>
      </c>
      <c r="Z15" s="17"/>
      <c r="AA15" s="16"/>
      <c r="AB15" s="16">
        <f t="shared" si="59"/>
        <v>3</v>
      </c>
      <c r="AC15" s="17"/>
      <c r="AD15" s="16"/>
      <c r="AE15" s="16">
        <f t="shared" si="60"/>
        <v>3</v>
      </c>
      <c r="AF15" s="17"/>
      <c r="AG15" s="16"/>
      <c r="AH15" s="16">
        <f t="shared" si="61"/>
        <v>3</v>
      </c>
      <c r="AI15" s="17"/>
      <c r="AJ15" s="16"/>
      <c r="AK15" s="16">
        <f t="shared" si="62"/>
        <v>3</v>
      </c>
      <c r="AL15" s="17"/>
      <c r="AM15" s="16"/>
      <c r="AN15" s="16">
        <f t="shared" si="63"/>
        <v>3</v>
      </c>
      <c r="AO15" s="17"/>
      <c r="AP15" s="16"/>
      <c r="AQ15" s="16">
        <f t="shared" si="64"/>
        <v>3</v>
      </c>
      <c r="AR15" s="17"/>
      <c r="AS15" s="16"/>
      <c r="AT15" s="16">
        <f t="shared" si="65"/>
        <v>3</v>
      </c>
      <c r="AU15" s="17"/>
      <c r="AV15" s="16"/>
      <c r="AW15" s="16">
        <f t="shared" si="66"/>
        <v>3</v>
      </c>
      <c r="AX15" s="17"/>
      <c r="AY15" s="16"/>
      <c r="AZ15" s="16">
        <f t="shared" si="67"/>
        <v>3</v>
      </c>
      <c r="BA15" s="17"/>
      <c r="BB15" s="16"/>
      <c r="BC15" s="16">
        <f t="shared" si="68"/>
        <v>3</v>
      </c>
      <c r="BD15" s="17"/>
      <c r="BE15" s="16"/>
      <c r="BF15" s="16">
        <f t="shared" si="69"/>
        <v>3</v>
      </c>
      <c r="BG15" s="17"/>
      <c r="BH15" s="16"/>
      <c r="BI15" s="16">
        <f t="shared" si="70"/>
        <v>3</v>
      </c>
      <c r="BJ15" s="17"/>
      <c r="BK15" s="16"/>
      <c r="BL15" s="16">
        <f t="shared" si="71"/>
        <v>3</v>
      </c>
      <c r="BM15" s="17"/>
      <c r="BN15" s="16"/>
      <c r="BO15" s="16">
        <f t="shared" si="72"/>
        <v>3</v>
      </c>
      <c r="BP15" s="17"/>
      <c r="BQ15" s="16"/>
      <c r="BR15" s="16">
        <f t="shared" si="73"/>
        <v>3</v>
      </c>
      <c r="BS15" s="17"/>
      <c r="BT15" s="16"/>
      <c r="BU15" s="16">
        <f t="shared" si="74"/>
        <v>3</v>
      </c>
      <c r="BV15" s="17"/>
      <c r="BW15" s="16"/>
      <c r="BX15" s="16">
        <f t="shared" si="75"/>
        <v>3</v>
      </c>
      <c r="BY15" s="17"/>
      <c r="BZ15" s="16"/>
      <c r="CA15" s="16">
        <f t="shared" si="76"/>
        <v>3</v>
      </c>
      <c r="CB15" s="17"/>
      <c r="CC15" s="16"/>
      <c r="CD15" s="16">
        <f t="shared" si="77"/>
        <v>3</v>
      </c>
      <c r="CE15" s="17"/>
      <c r="CF15" s="16"/>
      <c r="CG15" s="16">
        <f t="shared" si="78"/>
        <v>3</v>
      </c>
      <c r="CH15" s="17"/>
      <c r="CI15" s="18">
        <f t="shared" si="79"/>
        <v>0</v>
      </c>
      <c r="CJ15" s="18">
        <f t="shared" si="80"/>
        <v>3</v>
      </c>
      <c r="CK15" s="1"/>
      <c r="CL15" s="1"/>
      <c r="CM15" s="1"/>
      <c r="CN15" s="1"/>
      <c r="CO15" s="1"/>
      <c r="CP15" s="1"/>
    </row>
    <row r="16" ht="55.5" customHeight="1">
      <c r="A16" s="1"/>
      <c r="B16" s="21"/>
      <c r="C16" s="21"/>
      <c r="D16" s="14" t="s">
        <v>135</v>
      </c>
      <c r="E16" s="15" t="s">
        <v>36</v>
      </c>
      <c r="F16" s="15" t="s">
        <v>80</v>
      </c>
      <c r="G16" s="15" t="s">
        <v>136</v>
      </c>
      <c r="H16" s="15">
        <v>1</v>
      </c>
      <c r="I16" s="16"/>
      <c r="J16" s="16">
        <f t="shared" si="53"/>
        <v>1</v>
      </c>
      <c r="K16" s="17"/>
      <c r="L16" s="16"/>
      <c r="M16" s="16">
        <f t="shared" si="54"/>
        <v>1</v>
      </c>
      <c r="N16" s="17"/>
      <c r="O16" s="16"/>
      <c r="P16" s="16">
        <f t="shared" si="55"/>
        <v>1</v>
      </c>
      <c r="Q16" s="17"/>
      <c r="R16" s="16"/>
      <c r="S16" s="16">
        <f t="shared" si="56"/>
        <v>1</v>
      </c>
      <c r="T16" s="17"/>
      <c r="U16" s="16"/>
      <c r="V16" s="16">
        <f t="shared" si="57"/>
        <v>1</v>
      </c>
      <c r="W16" s="17"/>
      <c r="X16" s="16"/>
      <c r="Y16" s="16">
        <f t="shared" si="58"/>
        <v>1</v>
      </c>
      <c r="Z16" s="17"/>
      <c r="AA16" s="16"/>
      <c r="AB16" s="16">
        <f t="shared" si="59"/>
        <v>1</v>
      </c>
      <c r="AC16" s="17"/>
      <c r="AD16" s="16"/>
      <c r="AE16" s="16">
        <f t="shared" si="60"/>
        <v>1</v>
      </c>
      <c r="AF16" s="17"/>
      <c r="AG16" s="16"/>
      <c r="AH16" s="16">
        <f t="shared" si="61"/>
        <v>1</v>
      </c>
      <c r="AI16" s="17"/>
      <c r="AJ16" s="16"/>
      <c r="AK16" s="16">
        <f t="shared" si="62"/>
        <v>1</v>
      </c>
      <c r="AL16" s="17"/>
      <c r="AM16" s="16"/>
      <c r="AN16" s="16">
        <f t="shared" si="63"/>
        <v>1</v>
      </c>
      <c r="AO16" s="17"/>
      <c r="AP16" s="16"/>
      <c r="AQ16" s="16">
        <f t="shared" si="64"/>
        <v>1</v>
      </c>
      <c r="AR16" s="17"/>
      <c r="AS16" s="16"/>
      <c r="AT16" s="16">
        <f t="shared" si="65"/>
        <v>1</v>
      </c>
      <c r="AU16" s="17"/>
      <c r="AV16" s="16"/>
      <c r="AW16" s="16">
        <f t="shared" si="66"/>
        <v>1</v>
      </c>
      <c r="AX16" s="17"/>
      <c r="AY16" s="16"/>
      <c r="AZ16" s="16">
        <f t="shared" si="67"/>
        <v>1</v>
      </c>
      <c r="BA16" s="17"/>
      <c r="BB16" s="16"/>
      <c r="BC16" s="16">
        <f t="shared" si="68"/>
        <v>1</v>
      </c>
      <c r="BD16" s="17"/>
      <c r="BE16" s="16"/>
      <c r="BF16" s="16">
        <f t="shared" si="69"/>
        <v>1</v>
      </c>
      <c r="BG16" s="17"/>
      <c r="BH16" s="16"/>
      <c r="BI16" s="16">
        <f t="shared" si="70"/>
        <v>1</v>
      </c>
      <c r="BJ16" s="17"/>
      <c r="BK16" s="16"/>
      <c r="BL16" s="16">
        <f t="shared" si="71"/>
        <v>1</v>
      </c>
      <c r="BM16" s="17"/>
      <c r="BN16" s="16"/>
      <c r="BO16" s="16">
        <f t="shared" si="72"/>
        <v>1</v>
      </c>
      <c r="BP16" s="17"/>
      <c r="BQ16" s="16"/>
      <c r="BR16" s="16">
        <f t="shared" si="73"/>
        <v>1</v>
      </c>
      <c r="BS16" s="17"/>
      <c r="BT16" s="16"/>
      <c r="BU16" s="16">
        <f t="shared" si="74"/>
        <v>1</v>
      </c>
      <c r="BV16" s="17"/>
      <c r="BW16" s="16"/>
      <c r="BX16" s="16">
        <f t="shared" si="75"/>
        <v>1</v>
      </c>
      <c r="BY16" s="17"/>
      <c r="BZ16" s="16"/>
      <c r="CA16" s="16">
        <f t="shared" si="76"/>
        <v>1</v>
      </c>
      <c r="CB16" s="17"/>
      <c r="CC16" s="16"/>
      <c r="CD16" s="16">
        <f t="shared" si="77"/>
        <v>1</v>
      </c>
      <c r="CE16" s="17"/>
      <c r="CF16" s="16"/>
      <c r="CG16" s="16">
        <f t="shared" si="78"/>
        <v>1</v>
      </c>
      <c r="CH16" s="17"/>
      <c r="CI16" s="18">
        <f t="shared" si="79"/>
        <v>0</v>
      </c>
      <c r="CJ16" s="18">
        <f t="shared" si="80"/>
        <v>1</v>
      </c>
      <c r="CK16" s="1"/>
      <c r="CL16" s="1"/>
      <c r="CM16" s="1"/>
      <c r="CN16" s="1"/>
      <c r="CO16" s="1"/>
      <c r="CP16" s="1"/>
    </row>
    <row r="17" ht="15.75" customHeight="1">
      <c r="A17" s="1"/>
      <c r="B17" s="1"/>
      <c r="C17" s="1"/>
      <c r="D17" s="1"/>
      <c r="E17" s="1"/>
      <c r="F17" s="1"/>
      <c r="G17" s="1"/>
      <c r="H17" s="1"/>
      <c r="I17" s="1"/>
      <c r="J17" s="22"/>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row>
  </sheetData>
  <mergeCells count="37">
    <mergeCell ref="B2:C2"/>
    <mergeCell ref="B3:C3"/>
    <mergeCell ref="I4:J4"/>
    <mergeCell ref="L4:M4"/>
    <mergeCell ref="O4:P4"/>
    <mergeCell ref="R4:S4"/>
    <mergeCell ref="U4:V4"/>
    <mergeCell ref="X4:Y4"/>
    <mergeCell ref="AA4:AB4"/>
    <mergeCell ref="AD4:AE4"/>
    <mergeCell ref="AG4:AH4"/>
    <mergeCell ref="AJ4:AK4"/>
    <mergeCell ref="AM4:AN4"/>
    <mergeCell ref="AP4:AQ4"/>
    <mergeCell ref="AS4:AT4"/>
    <mergeCell ref="AV4:AW4"/>
    <mergeCell ref="AY4:AZ4"/>
    <mergeCell ref="BB4:BC4"/>
    <mergeCell ref="BE4:BF4"/>
    <mergeCell ref="BH4:BI4"/>
    <mergeCell ref="BK4:BL4"/>
    <mergeCell ref="BN4:BO4"/>
    <mergeCell ref="BQ4:BR4"/>
    <mergeCell ref="BT4:BU4"/>
    <mergeCell ref="BW4:BX4"/>
    <mergeCell ref="BZ4:CA4"/>
    <mergeCell ref="CC4:CD4"/>
    <mergeCell ref="CF4:CG4"/>
    <mergeCell ref="CI4:CJ4"/>
    <mergeCell ref="B6:B9"/>
    <mergeCell ref="C6:C9"/>
    <mergeCell ref="B10:B12"/>
    <mergeCell ref="C10:C12"/>
    <mergeCell ref="B13:B14"/>
    <mergeCell ref="C13:C14"/>
    <mergeCell ref="B15:B16"/>
    <mergeCell ref="C15:C16"/>
  </mergeCells>
  <printOptions headings="0" gridLines="0"/>
  <pageMargins left="0.62992125984251968" right="0.62992125984251968" top="0.74803149606299213" bottom="0.74803149606299213" header="0" footer="0"/>
  <pageSetup paperSize="9" scale="100" fitToWidth="1" fitToHeight="1" pageOrder="downThenOver" orientation="landscape" usePrinterDefaults="1" blackAndWhite="0" draft="0" cellComments="none" useFirstPageNumber="0" errors="displayed" horizontalDpi="600" verticalDpi="600" copies="1"/>
  <headerFooter/>
  <colBreaks count="4" manualBreakCount="4">
    <brk id="53" man="1"/>
    <brk id="37" man="1"/>
    <brk id="22" man="1"/>
    <brk id="94" man="1"/>
  </colBreaks>
  <extLst>
    <ext xmlns:x14="http://schemas.microsoft.com/office/spreadsheetml/2009/9/main" uri="{CCE6A557-97BC-4b89-ADB6-D9C93CAAB3DF}">
      <x14:dataValidations xmlns:xm="http://schemas.microsoft.com/office/excel/2006/main" count="2" disablePrompts="0">
        <x14:dataValidation xr:uid="{6745B057-C26E-413C-AAE7-46DD5E30328B}" type="list" allowBlank="1" errorStyle="stop" imeMode="noControl" operator="between" showDropDown="0" showErrorMessage="1" showInputMessage="0">
          <x14:formula1>
            <xm:f>"Nuevo,En progreso,Listo para probar,Cerrado,Se necesita info"</xm:f>
          </x14:formula1>
          <xm:sqref>F6:F18</xm:sqref>
        </x14:dataValidation>
        <x14:dataValidation xr:uid="{43C077B2-D777-4C6B-9F1F-28C3971BF69A}" type="list" allowBlank="1" errorStyle="stop" imeMode="noControl" operator="between" showDropDown="0" showErrorMessage="1" showInputMessage="0">
          <x14:formula1>
            <xm:f>"Antonia Lizana,Marcelo Valladares"</xm:f>
          </x14:formula1>
          <xm:sqref>E6:E18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6" ySplit="5" topLeftCell="G6" activePane="bottomRight" state="frozen"/>
      <selection activeCell="G6" activeCellId="0" sqref="G6"/>
    </sheetView>
  </sheetViews>
  <sheetFormatPr defaultColWidth="12.630000000000001" defaultRowHeight="15" customHeight="1"/>
  <cols>
    <col customWidth="1" min="1" max="1" width="0.38"/>
    <col customWidth="1" min="2" max="2" width="14.380000000000001"/>
    <col customWidth="1" min="3" max="3" width="43.130000000000003"/>
    <col customWidth="1" min="4" max="4" width="18.25"/>
    <col customWidth="1" min="5" max="5" width="21.25"/>
    <col customWidth="1" min="6" max="6" width="18.25"/>
    <col customWidth="1" min="7" max="8" width="13.5"/>
    <col customWidth="1" min="9" max="9" width="5.1299999999999999"/>
    <col customWidth="1" min="10" max="10" width="4.75"/>
    <col customWidth="1" min="11" max="11" width="2.3799999999999999"/>
    <col customWidth="1" min="12" max="12" width="5.1299999999999999"/>
    <col customWidth="1" min="13" max="13" width="4.75"/>
    <col customWidth="1" min="14" max="14" width="2.3799999999999999"/>
    <col customWidth="1" min="15" max="15" width="5.1299999999999999"/>
    <col customWidth="1" min="16" max="16" width="4.75"/>
    <col customWidth="1" min="17" max="17" width="2.3799999999999999"/>
    <col customWidth="1" min="18" max="18" width="5.1299999999999999"/>
    <col customWidth="1" min="19" max="19" width="4.75"/>
    <col customWidth="1" min="20" max="20" width="2.3799999999999999"/>
    <col customWidth="1" min="21" max="21" width="5.1299999999999999"/>
    <col customWidth="1" min="22" max="22" width="4.75"/>
    <col customWidth="1" min="23" max="23" width="2.3799999999999999"/>
    <col customWidth="1" min="24" max="24" width="5.1299999999999999"/>
    <col customWidth="1" min="25" max="25" width="4.75"/>
    <col customWidth="1" min="26" max="26" width="2.3799999999999999"/>
    <col customWidth="1" min="27" max="27" width="5.1299999999999999"/>
    <col customWidth="1" min="28" max="28" width="4.75"/>
    <col customWidth="1" min="29" max="29" width="2.3799999999999999"/>
    <col customWidth="1" min="30" max="30" width="5.1299999999999999"/>
    <col customWidth="1" min="31" max="31" width="4.75"/>
    <col customWidth="1" min="32" max="32" width="2.3799999999999999"/>
    <col customWidth="1" min="33" max="33" width="5.1299999999999999"/>
    <col customWidth="1" min="34" max="34" width="4.75"/>
    <col customWidth="1" min="35" max="35" width="2.3799999999999999"/>
    <col customWidth="1" min="36" max="36" width="5.1299999999999999"/>
    <col customWidth="1" min="37" max="37" width="4.75"/>
    <col customWidth="1" min="38" max="38" width="2.3799999999999999"/>
    <col customWidth="1" min="39" max="39" width="5.1299999999999999"/>
    <col customWidth="1" min="40" max="40" width="4.75"/>
    <col customWidth="1" min="41" max="41" width="2.3799999999999999"/>
    <col customWidth="1" min="42" max="42" width="5.1299999999999999"/>
    <col customWidth="1" min="43" max="43" width="4.75"/>
    <col customWidth="1" min="44" max="44" width="2.3799999999999999"/>
    <col customWidth="1" min="45" max="45" width="5.1299999999999999"/>
    <col customWidth="1" min="46" max="46" width="4.75"/>
    <col customWidth="1" min="47" max="47" width="2.3799999999999999"/>
    <col customWidth="1" min="48" max="48" width="5.1299999999999999"/>
    <col customWidth="1" min="49" max="49" width="4.75"/>
    <col customWidth="1" min="50" max="50" width="2.3799999999999999"/>
    <col customWidth="1" min="51" max="51" width="5.1299999999999999"/>
    <col customWidth="1" min="52" max="52" width="4.75"/>
    <col customWidth="1" min="53" max="53" width="2.3799999999999999"/>
    <col customWidth="1" min="54" max="54" width="5.1299999999999999"/>
    <col customWidth="1" min="55" max="55" width="4.75"/>
    <col customWidth="1" min="56" max="56" width="2.3799999999999999"/>
    <col customWidth="1" min="57" max="57" width="5.1299999999999999"/>
    <col customWidth="1" min="58" max="58" width="4.75"/>
    <col customWidth="1" min="59" max="59" width="2.3799999999999999"/>
    <col customWidth="1" min="60" max="60" width="5.1299999999999999"/>
    <col customWidth="1" min="61" max="61" width="4.75"/>
    <col customWidth="1" min="62" max="62" width="2.3799999999999999"/>
    <col customWidth="1" min="63" max="63" width="5.1299999999999999"/>
    <col customWidth="1" min="64" max="64" width="4.75"/>
    <col customWidth="1" min="65" max="65" width="2.3799999999999999"/>
    <col customWidth="1" min="66" max="66" width="5.1299999999999999"/>
    <col customWidth="1" min="67" max="67" width="4.75"/>
    <col customWidth="1" min="68" max="68" width="2.3799999999999999"/>
    <col customWidth="1" min="69" max="69" width="5.1299999999999999"/>
    <col customWidth="1" min="70" max="74" width="4.75"/>
  </cols>
  <sheetData>
    <row r="1">
      <c r="A1" s="31"/>
      <c r="B1" s="32"/>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row>
    <row r="2">
      <c r="A2" s="31"/>
      <c r="B2" s="33" t="s">
        <v>137</v>
      </c>
      <c r="C2" s="23"/>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row>
    <row r="3">
      <c r="A3" s="31"/>
      <c r="B3" s="34" t="s">
        <v>1</v>
      </c>
      <c r="C3" s="23"/>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row>
    <row r="4">
      <c r="A4" s="31"/>
      <c r="B4" s="31"/>
      <c r="C4" s="31"/>
      <c r="D4" s="31"/>
      <c r="E4" s="31"/>
      <c r="F4" s="31"/>
      <c r="G4" s="31"/>
      <c r="H4" s="5" t="s">
        <v>138</v>
      </c>
      <c r="I4" s="6" t="s">
        <v>3</v>
      </c>
      <c r="J4" s="7"/>
      <c r="K4" s="6"/>
      <c r="L4" s="8" t="s">
        <v>4</v>
      </c>
      <c r="M4" s="7"/>
      <c r="N4" s="6"/>
      <c r="O4" s="8" t="s">
        <v>5</v>
      </c>
      <c r="P4" s="7"/>
      <c r="Q4" s="6"/>
      <c r="R4" s="8" t="s">
        <v>6</v>
      </c>
      <c r="S4" s="7"/>
      <c r="T4" s="6"/>
      <c r="U4" s="8" t="s">
        <v>7</v>
      </c>
      <c r="V4" s="7"/>
      <c r="W4" s="6"/>
      <c r="X4" s="8" t="s">
        <v>8</v>
      </c>
      <c r="Y4" s="7"/>
      <c r="Z4" s="6"/>
      <c r="AA4" s="8" t="s">
        <v>9</v>
      </c>
      <c r="AB4" s="7"/>
      <c r="AC4" s="6"/>
      <c r="AD4" s="8" t="s">
        <v>10</v>
      </c>
      <c r="AE4" s="7"/>
      <c r="AF4" s="6"/>
      <c r="AG4" s="8" t="s">
        <v>11</v>
      </c>
      <c r="AH4" s="7"/>
      <c r="AI4" s="6"/>
      <c r="AJ4" s="8" t="s">
        <v>12</v>
      </c>
      <c r="AK4" s="7"/>
      <c r="AL4" s="6"/>
      <c r="AM4" s="8" t="s">
        <v>13</v>
      </c>
      <c r="AN4" s="7"/>
      <c r="AO4" s="6"/>
      <c r="AP4" s="8" t="s">
        <v>14</v>
      </c>
      <c r="AQ4" s="7"/>
      <c r="AR4" s="6"/>
      <c r="AS4" s="8" t="s">
        <v>15</v>
      </c>
      <c r="AT4" s="7"/>
      <c r="AU4" s="6"/>
      <c r="AV4" s="8" t="s">
        <v>16</v>
      </c>
      <c r="AW4" s="7"/>
      <c r="AX4" s="6"/>
      <c r="AY4" s="8" t="s">
        <v>17</v>
      </c>
      <c r="AZ4" s="7"/>
      <c r="BA4" s="6"/>
      <c r="BB4" s="8" t="s">
        <v>18</v>
      </c>
      <c r="BC4" s="7"/>
      <c r="BD4" s="6"/>
      <c r="BE4" s="8" t="s">
        <v>19</v>
      </c>
      <c r="BF4" s="7"/>
      <c r="BG4" s="6"/>
      <c r="BH4" s="8" t="s">
        <v>20</v>
      </c>
      <c r="BI4" s="7"/>
      <c r="BJ4" s="6"/>
      <c r="BK4" s="8" t="s">
        <v>21</v>
      </c>
      <c r="BL4" s="7"/>
      <c r="BM4" s="6"/>
      <c r="BN4" s="8" t="s">
        <v>22</v>
      </c>
      <c r="BO4" s="7"/>
      <c r="BP4" s="6"/>
      <c r="BQ4" s="8" t="s">
        <v>23</v>
      </c>
      <c r="BR4" s="7"/>
      <c r="BS4" s="35"/>
      <c r="BT4" s="35"/>
      <c r="BU4" s="35"/>
      <c r="BV4" s="35"/>
    </row>
    <row r="5">
      <c r="A5" s="31"/>
      <c r="B5" s="9" t="s">
        <v>24</v>
      </c>
      <c r="C5" s="9" t="s">
        <v>25</v>
      </c>
      <c r="D5" s="9" t="s">
        <v>26</v>
      </c>
      <c r="E5" s="9" t="s">
        <v>27</v>
      </c>
      <c r="F5" s="9" t="s">
        <v>28</v>
      </c>
      <c r="G5" s="10" t="s">
        <v>29</v>
      </c>
      <c r="H5" s="11" t="s">
        <v>30</v>
      </c>
      <c r="I5" s="11" t="s">
        <v>31</v>
      </c>
      <c r="J5" s="11" t="s">
        <v>32</v>
      </c>
      <c r="K5" s="11"/>
      <c r="L5" s="11" t="s">
        <v>31</v>
      </c>
      <c r="M5" s="11" t="s">
        <v>32</v>
      </c>
      <c r="N5" s="11"/>
      <c r="O5" s="11" t="s">
        <v>31</v>
      </c>
      <c r="P5" s="11" t="s">
        <v>32</v>
      </c>
      <c r="Q5" s="11"/>
      <c r="R5" s="11" t="s">
        <v>31</v>
      </c>
      <c r="S5" s="11" t="s">
        <v>32</v>
      </c>
      <c r="T5" s="11"/>
      <c r="U5" s="11" t="s">
        <v>31</v>
      </c>
      <c r="V5" s="11" t="s">
        <v>32</v>
      </c>
      <c r="W5" s="11"/>
      <c r="X5" s="11" t="s">
        <v>31</v>
      </c>
      <c r="Y5" s="11" t="s">
        <v>32</v>
      </c>
      <c r="Z5" s="11"/>
      <c r="AA5" s="11" t="s">
        <v>31</v>
      </c>
      <c r="AB5" s="11" t="s">
        <v>32</v>
      </c>
      <c r="AC5" s="11"/>
      <c r="AD5" s="11" t="s">
        <v>31</v>
      </c>
      <c r="AE5" s="11" t="s">
        <v>32</v>
      </c>
      <c r="AF5" s="11"/>
      <c r="AG5" s="11" t="s">
        <v>31</v>
      </c>
      <c r="AH5" s="11" t="s">
        <v>32</v>
      </c>
      <c r="AI5" s="11"/>
      <c r="AJ5" s="11" t="s">
        <v>31</v>
      </c>
      <c r="AK5" s="11" t="s">
        <v>32</v>
      </c>
      <c r="AL5" s="11"/>
      <c r="AM5" s="11" t="s">
        <v>31</v>
      </c>
      <c r="AN5" s="11" t="s">
        <v>32</v>
      </c>
      <c r="AO5" s="11"/>
      <c r="AP5" s="11" t="s">
        <v>31</v>
      </c>
      <c r="AQ5" s="11" t="s">
        <v>32</v>
      </c>
      <c r="AR5" s="11"/>
      <c r="AS5" s="11" t="s">
        <v>31</v>
      </c>
      <c r="AT5" s="11" t="s">
        <v>32</v>
      </c>
      <c r="AU5" s="11"/>
      <c r="AV5" s="11" t="s">
        <v>31</v>
      </c>
      <c r="AW5" s="11" t="s">
        <v>32</v>
      </c>
      <c r="AX5" s="11"/>
      <c r="AY5" s="11" t="s">
        <v>31</v>
      </c>
      <c r="AZ5" s="11" t="s">
        <v>32</v>
      </c>
      <c r="BA5" s="11"/>
      <c r="BB5" s="11" t="s">
        <v>31</v>
      </c>
      <c r="BC5" s="11" t="s">
        <v>32</v>
      </c>
      <c r="BD5" s="11"/>
      <c r="BE5" s="11" t="s">
        <v>31</v>
      </c>
      <c r="BF5" s="11" t="s">
        <v>32</v>
      </c>
      <c r="BG5" s="11"/>
      <c r="BH5" s="11" t="s">
        <v>31</v>
      </c>
      <c r="BI5" s="11" t="s">
        <v>32</v>
      </c>
      <c r="BJ5" s="11"/>
      <c r="BK5" s="11" t="s">
        <v>31</v>
      </c>
      <c r="BL5" s="11" t="s">
        <v>32</v>
      </c>
      <c r="BM5" s="11"/>
      <c r="BN5" s="11" t="s">
        <v>31</v>
      </c>
      <c r="BO5" s="11" t="s">
        <v>32</v>
      </c>
      <c r="BP5" s="11"/>
      <c r="BQ5" s="11" t="s">
        <v>31</v>
      </c>
      <c r="BR5" s="11" t="s">
        <v>32</v>
      </c>
      <c r="BS5" s="35"/>
      <c r="BT5" s="35"/>
      <c r="BU5" s="35"/>
      <c r="BV5" s="35"/>
    </row>
    <row r="6" ht="48.75" customHeight="1">
      <c r="A6" s="31"/>
      <c r="B6" s="12" t="s">
        <v>139</v>
      </c>
      <c r="C6" s="12" t="s">
        <v>140</v>
      </c>
      <c r="D6" s="15" t="s">
        <v>141</v>
      </c>
      <c r="E6" s="15" t="s">
        <v>67</v>
      </c>
      <c r="F6" s="15" t="s">
        <v>80</v>
      </c>
      <c r="G6" s="15" t="s">
        <v>142</v>
      </c>
      <c r="H6" s="15">
        <v>4</v>
      </c>
      <c r="I6" s="16"/>
      <c r="J6" s="16">
        <f t="shared" ref="J6:J40" si="81">H6-I6</f>
        <v>4</v>
      </c>
      <c r="K6" s="17"/>
      <c r="L6" s="16"/>
      <c r="M6" s="16">
        <f t="shared" ref="M6:M40" si="82">J6-L6</f>
        <v>4</v>
      </c>
      <c r="N6" s="17"/>
      <c r="O6" s="16"/>
      <c r="P6" s="16">
        <f t="shared" ref="P6:P40" si="83">M6-O6</f>
        <v>4</v>
      </c>
      <c r="Q6" s="17"/>
      <c r="R6" s="16"/>
      <c r="S6" s="16">
        <f t="shared" ref="S6:S40" si="84">P6-R6</f>
        <v>4</v>
      </c>
      <c r="T6" s="17"/>
      <c r="U6" s="16"/>
      <c r="V6" s="16">
        <f t="shared" ref="V6:V40" si="85">S6-U6</f>
        <v>4</v>
      </c>
      <c r="W6" s="17"/>
      <c r="X6" s="16"/>
      <c r="Y6" s="16">
        <f t="shared" ref="Y6:Y40" si="86">V6-X6</f>
        <v>4</v>
      </c>
      <c r="Z6" s="17"/>
      <c r="AA6" s="16"/>
      <c r="AB6" s="16">
        <f t="shared" ref="AB6:AB40" si="87">Y6-AA6</f>
        <v>4</v>
      </c>
      <c r="AC6" s="17"/>
      <c r="AD6" s="16"/>
      <c r="AE6" s="16">
        <f t="shared" ref="AE6:AE40" si="88">AB6-AD6</f>
        <v>4</v>
      </c>
      <c r="AF6" s="17"/>
      <c r="AG6" s="16"/>
      <c r="AH6" s="16">
        <f t="shared" ref="AH6:AH40" si="89">AE6-AG6</f>
        <v>4</v>
      </c>
      <c r="AI6" s="17"/>
      <c r="AJ6" s="16"/>
      <c r="AK6" s="16">
        <f t="shared" ref="AK6:AK40" si="90">AH6-AJ6</f>
        <v>4</v>
      </c>
      <c r="AL6" s="17"/>
      <c r="AM6" s="16"/>
      <c r="AN6" s="16">
        <f t="shared" ref="AN6:AN40" si="91">AK6-AM6</f>
        <v>4</v>
      </c>
      <c r="AO6" s="17"/>
      <c r="AP6" s="16"/>
      <c r="AQ6" s="16">
        <f t="shared" ref="AQ6:AQ40" si="92">AN6-AP6</f>
        <v>4</v>
      </c>
      <c r="AR6" s="17"/>
      <c r="AS6" s="16"/>
      <c r="AT6" s="16">
        <f t="shared" ref="AT6:AT40" si="93">AQ6-AS6</f>
        <v>4</v>
      </c>
      <c r="AU6" s="17"/>
      <c r="AV6" s="16"/>
      <c r="AW6" s="16">
        <f t="shared" ref="AW6:AW40" si="94">AT6-AV6</f>
        <v>4</v>
      </c>
      <c r="AX6" s="17"/>
      <c r="AY6" s="16"/>
      <c r="AZ6" s="16">
        <f t="shared" ref="AZ6:AZ17" si="95">AW6-AY6</f>
        <v>4</v>
      </c>
      <c r="BA6" s="17"/>
      <c r="BB6" s="16"/>
      <c r="BC6" s="16">
        <f t="shared" ref="BC6:BC40" si="96">AZ6-BB6</f>
        <v>4</v>
      </c>
      <c r="BD6" s="17"/>
      <c r="BE6" s="16"/>
      <c r="BF6" s="16">
        <f t="shared" ref="BF6:BF17" si="97">BC6-BE6</f>
        <v>4</v>
      </c>
      <c r="BG6" s="17"/>
      <c r="BH6" s="16"/>
      <c r="BI6" s="16">
        <f t="shared" ref="BI6:BI40" si="98">BF6-BH6</f>
        <v>4</v>
      </c>
      <c r="BJ6" s="17"/>
      <c r="BK6" s="16"/>
      <c r="BL6" s="16">
        <f t="shared" ref="BL6:BL40" si="99">BI6-BK6</f>
        <v>4</v>
      </c>
      <c r="BM6" s="17"/>
      <c r="BN6" s="16"/>
      <c r="BO6" s="16">
        <f t="shared" ref="BO6:BO40" si="100">BL6-BN6</f>
        <v>4</v>
      </c>
      <c r="BP6" s="17"/>
      <c r="BQ6" s="18">
        <f t="shared" ref="BQ6:BQ40" si="101">I6+L6+O6+R6+U6+X6+AA6+AD6+AG6+AJ6+AM6+AP6+AS6+AV6+AY6+BB6+BE6+BH6+BK6+BN6</f>
        <v>0</v>
      </c>
      <c r="BR6" s="18">
        <f t="shared" ref="BR6:BR40" si="102">H6-BQ6</f>
        <v>4</v>
      </c>
      <c r="BS6" s="31"/>
      <c r="BT6" s="31"/>
      <c r="BU6" s="31"/>
      <c r="BV6" s="31"/>
    </row>
    <row r="7" ht="45" customHeight="1">
      <c r="A7" s="31"/>
      <c r="B7" s="21"/>
      <c r="C7" s="21"/>
      <c r="D7" s="15" t="s">
        <v>143</v>
      </c>
      <c r="E7" s="15" t="s">
        <v>67</v>
      </c>
      <c r="F7" s="15" t="s">
        <v>80</v>
      </c>
      <c r="G7" s="15" t="s">
        <v>144</v>
      </c>
      <c r="H7" s="15">
        <v>6</v>
      </c>
      <c r="I7" s="16"/>
      <c r="J7" s="16">
        <f t="shared" si="81"/>
        <v>6</v>
      </c>
      <c r="K7" s="17"/>
      <c r="L7" s="16"/>
      <c r="M7" s="16">
        <f t="shared" si="82"/>
        <v>6</v>
      </c>
      <c r="N7" s="17"/>
      <c r="O7" s="16"/>
      <c r="P7" s="16">
        <f t="shared" si="83"/>
        <v>6</v>
      </c>
      <c r="Q7" s="17"/>
      <c r="R7" s="16"/>
      <c r="S7" s="16">
        <f t="shared" si="84"/>
        <v>6</v>
      </c>
      <c r="T7" s="17"/>
      <c r="U7" s="16"/>
      <c r="V7" s="16">
        <f t="shared" si="85"/>
        <v>6</v>
      </c>
      <c r="W7" s="17"/>
      <c r="X7" s="16"/>
      <c r="Y7" s="16">
        <f t="shared" si="86"/>
        <v>6</v>
      </c>
      <c r="Z7" s="17"/>
      <c r="AA7" s="16"/>
      <c r="AB7" s="16">
        <f t="shared" si="87"/>
        <v>6</v>
      </c>
      <c r="AC7" s="17"/>
      <c r="AD7" s="16"/>
      <c r="AE7" s="16">
        <f t="shared" si="88"/>
        <v>6</v>
      </c>
      <c r="AF7" s="17"/>
      <c r="AG7" s="16"/>
      <c r="AH7" s="16">
        <f t="shared" si="89"/>
        <v>6</v>
      </c>
      <c r="AI7" s="17"/>
      <c r="AJ7" s="16"/>
      <c r="AK7" s="16">
        <f t="shared" si="90"/>
        <v>6</v>
      </c>
      <c r="AL7" s="17"/>
      <c r="AM7" s="16"/>
      <c r="AN7" s="16">
        <f t="shared" si="91"/>
        <v>6</v>
      </c>
      <c r="AO7" s="17"/>
      <c r="AP7" s="16"/>
      <c r="AQ7" s="16">
        <f t="shared" si="92"/>
        <v>6</v>
      </c>
      <c r="AR7" s="17"/>
      <c r="AS7" s="16"/>
      <c r="AT7" s="16">
        <f t="shared" si="93"/>
        <v>6</v>
      </c>
      <c r="AU7" s="17"/>
      <c r="AV7" s="16"/>
      <c r="AW7" s="16">
        <f t="shared" si="94"/>
        <v>6</v>
      </c>
      <c r="AX7" s="17"/>
      <c r="AY7" s="16"/>
      <c r="AZ7" s="16">
        <f t="shared" si="95"/>
        <v>6</v>
      </c>
      <c r="BA7" s="17"/>
      <c r="BB7" s="16"/>
      <c r="BC7" s="16">
        <f t="shared" si="96"/>
        <v>6</v>
      </c>
      <c r="BD7" s="17"/>
      <c r="BE7" s="16"/>
      <c r="BF7" s="16">
        <f t="shared" si="97"/>
        <v>6</v>
      </c>
      <c r="BG7" s="17"/>
      <c r="BH7" s="16"/>
      <c r="BI7" s="16">
        <f t="shared" si="98"/>
        <v>6</v>
      </c>
      <c r="BJ7" s="17"/>
      <c r="BK7" s="16"/>
      <c r="BL7" s="16">
        <f t="shared" si="99"/>
        <v>6</v>
      </c>
      <c r="BM7" s="17"/>
      <c r="BN7" s="16"/>
      <c r="BO7" s="16">
        <f t="shared" si="100"/>
        <v>6</v>
      </c>
      <c r="BP7" s="17"/>
      <c r="BQ7" s="18">
        <f t="shared" si="101"/>
        <v>0</v>
      </c>
      <c r="BR7" s="18">
        <f t="shared" si="102"/>
        <v>6</v>
      </c>
      <c r="BS7" s="31"/>
      <c r="BT7" s="31"/>
      <c r="BU7" s="31"/>
      <c r="BV7" s="31"/>
    </row>
    <row r="8" ht="65.25" customHeight="1">
      <c r="A8" s="31"/>
      <c r="B8" s="12" t="s">
        <v>145</v>
      </c>
      <c r="C8" s="12" t="s">
        <v>146</v>
      </c>
      <c r="D8" s="15" t="s">
        <v>147</v>
      </c>
      <c r="E8" s="15" t="s">
        <v>70</v>
      </c>
      <c r="F8" s="15" t="s">
        <v>80</v>
      </c>
      <c r="G8" s="15" t="s">
        <v>148</v>
      </c>
      <c r="H8" s="15">
        <v>6</v>
      </c>
      <c r="I8" s="16"/>
      <c r="J8" s="16">
        <f t="shared" si="81"/>
        <v>6</v>
      </c>
      <c r="K8" s="17"/>
      <c r="L8" s="16"/>
      <c r="M8" s="16">
        <f t="shared" si="82"/>
        <v>6</v>
      </c>
      <c r="N8" s="17"/>
      <c r="O8" s="16"/>
      <c r="P8" s="16">
        <f t="shared" si="83"/>
        <v>6</v>
      </c>
      <c r="Q8" s="17"/>
      <c r="R8" s="16"/>
      <c r="S8" s="16">
        <f t="shared" si="84"/>
        <v>6</v>
      </c>
      <c r="T8" s="17"/>
      <c r="U8" s="16"/>
      <c r="V8" s="16">
        <f t="shared" si="85"/>
        <v>6</v>
      </c>
      <c r="W8" s="17"/>
      <c r="X8" s="16"/>
      <c r="Y8" s="16">
        <f t="shared" si="86"/>
        <v>6</v>
      </c>
      <c r="Z8" s="17"/>
      <c r="AA8" s="16"/>
      <c r="AB8" s="16">
        <f t="shared" si="87"/>
        <v>6</v>
      </c>
      <c r="AC8" s="17"/>
      <c r="AD8" s="16"/>
      <c r="AE8" s="16">
        <f t="shared" si="88"/>
        <v>6</v>
      </c>
      <c r="AF8" s="17"/>
      <c r="AG8" s="16"/>
      <c r="AH8" s="16">
        <f t="shared" si="89"/>
        <v>6</v>
      </c>
      <c r="AI8" s="17"/>
      <c r="AJ8" s="16"/>
      <c r="AK8" s="16">
        <f t="shared" si="90"/>
        <v>6</v>
      </c>
      <c r="AL8" s="17"/>
      <c r="AM8" s="16"/>
      <c r="AN8" s="16">
        <f t="shared" si="91"/>
        <v>6</v>
      </c>
      <c r="AO8" s="17"/>
      <c r="AP8" s="16"/>
      <c r="AQ8" s="16">
        <f t="shared" si="92"/>
        <v>6</v>
      </c>
      <c r="AR8" s="17"/>
      <c r="AS8" s="16"/>
      <c r="AT8" s="16">
        <f t="shared" si="93"/>
        <v>6</v>
      </c>
      <c r="AU8" s="17"/>
      <c r="AV8" s="16"/>
      <c r="AW8" s="16">
        <f t="shared" si="94"/>
        <v>6</v>
      </c>
      <c r="AX8" s="17"/>
      <c r="AY8" s="16"/>
      <c r="AZ8" s="16">
        <f t="shared" si="95"/>
        <v>6</v>
      </c>
      <c r="BA8" s="17"/>
      <c r="BB8" s="16"/>
      <c r="BC8" s="16">
        <f t="shared" si="96"/>
        <v>6</v>
      </c>
      <c r="BD8" s="17"/>
      <c r="BE8" s="16"/>
      <c r="BF8" s="16">
        <f t="shared" si="97"/>
        <v>6</v>
      </c>
      <c r="BG8" s="17"/>
      <c r="BH8" s="16"/>
      <c r="BI8" s="16">
        <f t="shared" si="98"/>
        <v>6</v>
      </c>
      <c r="BJ8" s="17"/>
      <c r="BK8" s="16"/>
      <c r="BL8" s="16">
        <f t="shared" si="99"/>
        <v>6</v>
      </c>
      <c r="BM8" s="17"/>
      <c r="BN8" s="16"/>
      <c r="BO8" s="16">
        <f t="shared" si="100"/>
        <v>6</v>
      </c>
      <c r="BP8" s="17"/>
      <c r="BQ8" s="18">
        <f t="shared" si="101"/>
        <v>0</v>
      </c>
      <c r="BR8" s="18">
        <f t="shared" si="102"/>
        <v>6</v>
      </c>
      <c r="BS8" s="31"/>
      <c r="BT8" s="31"/>
      <c r="BU8" s="31"/>
      <c r="BV8" s="31"/>
    </row>
    <row r="9">
      <c r="A9" s="31"/>
      <c r="B9" s="19"/>
      <c r="C9" s="19"/>
      <c r="D9" s="15" t="s">
        <v>149</v>
      </c>
      <c r="E9" s="15" t="s">
        <v>70</v>
      </c>
      <c r="F9" s="15" t="s">
        <v>80</v>
      </c>
      <c r="G9" s="15" t="s">
        <v>150</v>
      </c>
      <c r="H9" s="15">
        <v>4</v>
      </c>
      <c r="I9" s="16"/>
      <c r="J9" s="16">
        <f t="shared" si="81"/>
        <v>4</v>
      </c>
      <c r="K9" s="17"/>
      <c r="L9" s="16"/>
      <c r="M9" s="16">
        <f t="shared" si="82"/>
        <v>4</v>
      </c>
      <c r="N9" s="17"/>
      <c r="O9" s="16"/>
      <c r="P9" s="16">
        <f t="shared" si="83"/>
        <v>4</v>
      </c>
      <c r="Q9" s="17"/>
      <c r="R9" s="16"/>
      <c r="S9" s="16">
        <f t="shared" si="84"/>
        <v>4</v>
      </c>
      <c r="T9" s="17"/>
      <c r="U9" s="16"/>
      <c r="V9" s="16">
        <f t="shared" si="85"/>
        <v>4</v>
      </c>
      <c r="W9" s="17"/>
      <c r="X9" s="16"/>
      <c r="Y9" s="16">
        <f t="shared" si="86"/>
        <v>4</v>
      </c>
      <c r="Z9" s="17"/>
      <c r="AA9" s="16"/>
      <c r="AB9" s="16">
        <f t="shared" si="87"/>
        <v>4</v>
      </c>
      <c r="AC9" s="17"/>
      <c r="AD9" s="16"/>
      <c r="AE9" s="16">
        <f t="shared" si="88"/>
        <v>4</v>
      </c>
      <c r="AF9" s="17"/>
      <c r="AG9" s="16"/>
      <c r="AH9" s="16">
        <f t="shared" si="89"/>
        <v>4</v>
      </c>
      <c r="AI9" s="17"/>
      <c r="AJ9" s="16"/>
      <c r="AK9" s="16">
        <f t="shared" si="90"/>
        <v>4</v>
      </c>
      <c r="AL9" s="17"/>
      <c r="AM9" s="16"/>
      <c r="AN9" s="16">
        <f t="shared" si="91"/>
        <v>4</v>
      </c>
      <c r="AO9" s="17"/>
      <c r="AP9" s="16"/>
      <c r="AQ9" s="16">
        <f t="shared" si="92"/>
        <v>4</v>
      </c>
      <c r="AR9" s="17"/>
      <c r="AS9" s="16"/>
      <c r="AT9" s="16">
        <f t="shared" si="93"/>
        <v>4</v>
      </c>
      <c r="AU9" s="17"/>
      <c r="AV9" s="16"/>
      <c r="AW9" s="16">
        <f t="shared" si="94"/>
        <v>4</v>
      </c>
      <c r="AX9" s="17"/>
      <c r="AY9" s="16"/>
      <c r="AZ9" s="16">
        <f t="shared" si="95"/>
        <v>4</v>
      </c>
      <c r="BA9" s="17"/>
      <c r="BB9" s="16"/>
      <c r="BC9" s="16">
        <f t="shared" si="96"/>
        <v>4</v>
      </c>
      <c r="BD9" s="17"/>
      <c r="BE9" s="16"/>
      <c r="BF9" s="16">
        <f t="shared" si="97"/>
        <v>4</v>
      </c>
      <c r="BG9" s="17"/>
      <c r="BH9" s="16"/>
      <c r="BI9" s="16">
        <f t="shared" si="98"/>
        <v>4</v>
      </c>
      <c r="BJ9" s="17"/>
      <c r="BK9" s="16"/>
      <c r="BL9" s="16">
        <f t="shared" si="99"/>
        <v>4</v>
      </c>
      <c r="BM9" s="17"/>
      <c r="BN9" s="16"/>
      <c r="BO9" s="16">
        <f t="shared" si="100"/>
        <v>4</v>
      </c>
      <c r="BP9" s="17"/>
      <c r="BQ9" s="18">
        <f t="shared" si="101"/>
        <v>0</v>
      </c>
      <c r="BR9" s="18">
        <f t="shared" si="102"/>
        <v>4</v>
      </c>
      <c r="BS9" s="31"/>
      <c r="BT9" s="31"/>
      <c r="BU9" s="31"/>
      <c r="BV9" s="31"/>
    </row>
    <row r="10">
      <c r="A10" s="31"/>
      <c r="B10" s="21"/>
      <c r="C10" s="21"/>
      <c r="D10" s="36" t="s">
        <v>151</v>
      </c>
      <c r="E10" s="15" t="s">
        <v>67</v>
      </c>
      <c r="F10" s="15" t="s">
        <v>80</v>
      </c>
      <c r="G10" s="15" t="s">
        <v>152</v>
      </c>
      <c r="H10" s="15">
        <v>4</v>
      </c>
      <c r="I10" s="16"/>
      <c r="J10" s="16">
        <f t="shared" si="81"/>
        <v>4</v>
      </c>
      <c r="K10" s="17"/>
      <c r="L10" s="16"/>
      <c r="M10" s="16">
        <f t="shared" si="82"/>
        <v>4</v>
      </c>
      <c r="N10" s="17"/>
      <c r="O10" s="16"/>
      <c r="P10" s="16">
        <f t="shared" si="83"/>
        <v>4</v>
      </c>
      <c r="Q10" s="17"/>
      <c r="R10" s="16"/>
      <c r="S10" s="16">
        <f t="shared" si="84"/>
        <v>4</v>
      </c>
      <c r="T10" s="17"/>
      <c r="U10" s="16"/>
      <c r="V10" s="16">
        <f t="shared" si="85"/>
        <v>4</v>
      </c>
      <c r="W10" s="17"/>
      <c r="X10" s="16"/>
      <c r="Y10" s="16">
        <f t="shared" si="86"/>
        <v>4</v>
      </c>
      <c r="Z10" s="17"/>
      <c r="AA10" s="16"/>
      <c r="AB10" s="16">
        <f t="shared" si="87"/>
        <v>4</v>
      </c>
      <c r="AC10" s="17"/>
      <c r="AD10" s="16"/>
      <c r="AE10" s="16">
        <f t="shared" si="88"/>
        <v>4</v>
      </c>
      <c r="AF10" s="17"/>
      <c r="AG10" s="16"/>
      <c r="AH10" s="16">
        <f t="shared" si="89"/>
        <v>4</v>
      </c>
      <c r="AI10" s="17"/>
      <c r="AJ10" s="16"/>
      <c r="AK10" s="16">
        <f t="shared" si="90"/>
        <v>4</v>
      </c>
      <c r="AL10" s="17"/>
      <c r="AM10" s="16"/>
      <c r="AN10" s="16">
        <f t="shared" si="91"/>
        <v>4</v>
      </c>
      <c r="AO10" s="17"/>
      <c r="AP10" s="16"/>
      <c r="AQ10" s="16">
        <f t="shared" si="92"/>
        <v>4</v>
      </c>
      <c r="AR10" s="17"/>
      <c r="AS10" s="16"/>
      <c r="AT10" s="16">
        <f t="shared" si="93"/>
        <v>4</v>
      </c>
      <c r="AU10" s="17"/>
      <c r="AV10" s="16"/>
      <c r="AW10" s="16">
        <f t="shared" si="94"/>
        <v>4</v>
      </c>
      <c r="AX10" s="17"/>
      <c r="AY10" s="16"/>
      <c r="AZ10" s="16">
        <f t="shared" si="95"/>
        <v>4</v>
      </c>
      <c r="BA10" s="17"/>
      <c r="BB10" s="16"/>
      <c r="BC10" s="16">
        <f t="shared" si="96"/>
        <v>4</v>
      </c>
      <c r="BD10" s="17"/>
      <c r="BE10" s="16"/>
      <c r="BF10" s="16">
        <f t="shared" si="97"/>
        <v>4</v>
      </c>
      <c r="BG10" s="17"/>
      <c r="BH10" s="16"/>
      <c r="BI10" s="16">
        <f t="shared" si="98"/>
        <v>4</v>
      </c>
      <c r="BJ10" s="17"/>
      <c r="BK10" s="16"/>
      <c r="BL10" s="16">
        <f t="shared" si="99"/>
        <v>4</v>
      </c>
      <c r="BM10" s="17"/>
      <c r="BN10" s="16"/>
      <c r="BO10" s="16">
        <f t="shared" si="100"/>
        <v>4</v>
      </c>
      <c r="BP10" s="17"/>
      <c r="BQ10" s="18">
        <f t="shared" si="101"/>
        <v>0</v>
      </c>
      <c r="BR10" s="18">
        <f t="shared" si="102"/>
        <v>4</v>
      </c>
      <c r="BS10" s="31"/>
      <c r="BT10" s="31"/>
      <c r="BU10" s="31"/>
      <c r="BV10" s="31"/>
    </row>
    <row r="11" ht="42" customHeight="1">
      <c r="A11" s="31"/>
      <c r="B11" s="12" t="s">
        <v>153</v>
      </c>
      <c r="C11" s="37" t="s">
        <v>154</v>
      </c>
      <c r="D11" s="15" t="s">
        <v>155</v>
      </c>
      <c r="E11" s="15" t="s">
        <v>67</v>
      </c>
      <c r="F11" s="15" t="s">
        <v>80</v>
      </c>
      <c r="G11" s="15" t="s">
        <v>156</v>
      </c>
      <c r="H11" s="15">
        <v>4</v>
      </c>
      <c r="I11" s="16"/>
      <c r="J11" s="16">
        <f t="shared" si="81"/>
        <v>4</v>
      </c>
      <c r="K11" s="17"/>
      <c r="L11" s="16"/>
      <c r="M11" s="16">
        <f t="shared" si="82"/>
        <v>4</v>
      </c>
      <c r="N11" s="17"/>
      <c r="O11" s="16"/>
      <c r="P11" s="16">
        <f t="shared" si="83"/>
        <v>4</v>
      </c>
      <c r="Q11" s="17"/>
      <c r="R11" s="16"/>
      <c r="S11" s="16">
        <f t="shared" si="84"/>
        <v>4</v>
      </c>
      <c r="T11" s="17"/>
      <c r="U11" s="16"/>
      <c r="V11" s="16">
        <f t="shared" si="85"/>
        <v>4</v>
      </c>
      <c r="W11" s="17"/>
      <c r="X11" s="16"/>
      <c r="Y11" s="16">
        <f t="shared" si="86"/>
        <v>4</v>
      </c>
      <c r="Z11" s="17"/>
      <c r="AA11" s="16"/>
      <c r="AB11" s="16">
        <f t="shared" si="87"/>
        <v>4</v>
      </c>
      <c r="AC11" s="17"/>
      <c r="AD11" s="16"/>
      <c r="AE11" s="16">
        <f t="shared" si="88"/>
        <v>4</v>
      </c>
      <c r="AF11" s="17"/>
      <c r="AG11" s="16"/>
      <c r="AH11" s="16">
        <f t="shared" si="89"/>
        <v>4</v>
      </c>
      <c r="AI11" s="17"/>
      <c r="AJ11" s="16"/>
      <c r="AK11" s="16">
        <f t="shared" si="90"/>
        <v>4</v>
      </c>
      <c r="AL11" s="17"/>
      <c r="AM11" s="16"/>
      <c r="AN11" s="16">
        <f t="shared" si="91"/>
        <v>4</v>
      </c>
      <c r="AO11" s="17"/>
      <c r="AP11" s="16"/>
      <c r="AQ11" s="16">
        <f t="shared" si="92"/>
        <v>4</v>
      </c>
      <c r="AR11" s="17"/>
      <c r="AS11" s="16"/>
      <c r="AT11" s="16">
        <f t="shared" si="93"/>
        <v>4</v>
      </c>
      <c r="AU11" s="17"/>
      <c r="AV11" s="16"/>
      <c r="AW11" s="16">
        <f t="shared" si="94"/>
        <v>4</v>
      </c>
      <c r="AX11" s="17"/>
      <c r="AY11" s="16"/>
      <c r="AZ11" s="16">
        <f t="shared" si="95"/>
        <v>4</v>
      </c>
      <c r="BA11" s="17"/>
      <c r="BB11" s="16"/>
      <c r="BC11" s="16">
        <f t="shared" si="96"/>
        <v>4</v>
      </c>
      <c r="BD11" s="17"/>
      <c r="BE11" s="16"/>
      <c r="BF11" s="16">
        <f t="shared" si="97"/>
        <v>4</v>
      </c>
      <c r="BG11" s="17"/>
      <c r="BH11" s="16"/>
      <c r="BI11" s="16">
        <f t="shared" si="98"/>
        <v>4</v>
      </c>
      <c r="BJ11" s="17"/>
      <c r="BK11" s="16"/>
      <c r="BL11" s="16">
        <f t="shared" si="99"/>
        <v>4</v>
      </c>
      <c r="BM11" s="17"/>
      <c r="BN11" s="16"/>
      <c r="BO11" s="16">
        <f t="shared" si="100"/>
        <v>4</v>
      </c>
      <c r="BP11" s="17"/>
      <c r="BQ11" s="18">
        <f t="shared" si="101"/>
        <v>0</v>
      </c>
      <c r="BR11" s="18">
        <f t="shared" si="102"/>
        <v>4</v>
      </c>
      <c r="BS11" s="31"/>
      <c r="BT11" s="31"/>
      <c r="BU11" s="31"/>
      <c r="BV11" s="31"/>
    </row>
    <row r="12" ht="42" customHeight="1">
      <c r="A12" s="31"/>
      <c r="B12" s="21"/>
      <c r="C12" s="21"/>
      <c r="D12" s="15" t="s">
        <v>157</v>
      </c>
      <c r="E12" s="15" t="s">
        <v>70</v>
      </c>
      <c r="F12" s="15" t="s">
        <v>80</v>
      </c>
      <c r="G12" s="15" t="s">
        <v>158</v>
      </c>
      <c r="H12" s="15">
        <v>2</v>
      </c>
      <c r="I12" s="16"/>
      <c r="J12" s="16">
        <f t="shared" si="81"/>
        <v>2</v>
      </c>
      <c r="K12" s="17"/>
      <c r="L12" s="16"/>
      <c r="M12" s="16">
        <f t="shared" si="82"/>
        <v>2</v>
      </c>
      <c r="N12" s="17"/>
      <c r="O12" s="16"/>
      <c r="P12" s="16">
        <f t="shared" si="83"/>
        <v>2</v>
      </c>
      <c r="Q12" s="17"/>
      <c r="R12" s="16"/>
      <c r="S12" s="16">
        <f t="shared" si="84"/>
        <v>2</v>
      </c>
      <c r="T12" s="17"/>
      <c r="U12" s="16"/>
      <c r="V12" s="16">
        <f t="shared" si="85"/>
        <v>2</v>
      </c>
      <c r="W12" s="17"/>
      <c r="X12" s="16"/>
      <c r="Y12" s="16">
        <f t="shared" si="86"/>
        <v>2</v>
      </c>
      <c r="Z12" s="17"/>
      <c r="AA12" s="16"/>
      <c r="AB12" s="16">
        <f t="shared" si="87"/>
        <v>2</v>
      </c>
      <c r="AC12" s="17"/>
      <c r="AD12" s="16"/>
      <c r="AE12" s="16">
        <f t="shared" si="88"/>
        <v>2</v>
      </c>
      <c r="AF12" s="17"/>
      <c r="AG12" s="16"/>
      <c r="AH12" s="16">
        <f t="shared" si="89"/>
        <v>2</v>
      </c>
      <c r="AI12" s="17"/>
      <c r="AJ12" s="16"/>
      <c r="AK12" s="16">
        <f t="shared" si="90"/>
        <v>2</v>
      </c>
      <c r="AL12" s="17"/>
      <c r="AM12" s="16"/>
      <c r="AN12" s="16">
        <f t="shared" si="91"/>
        <v>2</v>
      </c>
      <c r="AO12" s="17"/>
      <c r="AP12" s="16"/>
      <c r="AQ12" s="16">
        <f t="shared" si="92"/>
        <v>2</v>
      </c>
      <c r="AR12" s="17"/>
      <c r="AS12" s="16"/>
      <c r="AT12" s="16">
        <f t="shared" si="93"/>
        <v>2</v>
      </c>
      <c r="AU12" s="17"/>
      <c r="AV12" s="16"/>
      <c r="AW12" s="16">
        <f t="shared" si="94"/>
        <v>2</v>
      </c>
      <c r="AX12" s="17"/>
      <c r="AY12" s="16"/>
      <c r="AZ12" s="16">
        <f t="shared" si="95"/>
        <v>2</v>
      </c>
      <c r="BA12" s="17"/>
      <c r="BB12" s="16"/>
      <c r="BC12" s="16">
        <f t="shared" si="96"/>
        <v>2</v>
      </c>
      <c r="BD12" s="17"/>
      <c r="BE12" s="16"/>
      <c r="BF12" s="16">
        <f t="shared" si="97"/>
        <v>2</v>
      </c>
      <c r="BG12" s="17"/>
      <c r="BH12" s="16"/>
      <c r="BI12" s="16">
        <f t="shared" si="98"/>
        <v>2</v>
      </c>
      <c r="BJ12" s="17"/>
      <c r="BK12" s="16"/>
      <c r="BL12" s="16">
        <f t="shared" si="99"/>
        <v>2</v>
      </c>
      <c r="BM12" s="17"/>
      <c r="BN12" s="16"/>
      <c r="BO12" s="16">
        <f t="shared" si="100"/>
        <v>2</v>
      </c>
      <c r="BP12" s="17"/>
      <c r="BQ12" s="18">
        <f t="shared" si="101"/>
        <v>0</v>
      </c>
      <c r="BR12" s="18">
        <f t="shared" si="102"/>
        <v>2</v>
      </c>
      <c r="BS12" s="31"/>
      <c r="BT12" s="31"/>
      <c r="BU12" s="31"/>
      <c r="BV12" s="31"/>
    </row>
    <row r="13" ht="42" customHeight="1">
      <c r="A13" s="31"/>
      <c r="B13" s="12" t="s">
        <v>159</v>
      </c>
      <c r="C13" s="37" t="s">
        <v>160</v>
      </c>
      <c r="D13" s="15" t="s">
        <v>161</v>
      </c>
      <c r="E13" s="15" t="s">
        <v>70</v>
      </c>
      <c r="F13" s="15" t="s">
        <v>80</v>
      </c>
      <c r="G13" s="15" t="s">
        <v>162</v>
      </c>
      <c r="H13" s="15">
        <v>4</v>
      </c>
      <c r="I13" s="16"/>
      <c r="J13" s="16">
        <f t="shared" si="81"/>
        <v>4</v>
      </c>
      <c r="K13" s="17"/>
      <c r="L13" s="16"/>
      <c r="M13" s="16">
        <f t="shared" si="82"/>
        <v>4</v>
      </c>
      <c r="N13" s="17"/>
      <c r="O13" s="16"/>
      <c r="P13" s="16">
        <f t="shared" si="83"/>
        <v>4</v>
      </c>
      <c r="Q13" s="17"/>
      <c r="R13" s="16"/>
      <c r="S13" s="16">
        <f t="shared" si="84"/>
        <v>4</v>
      </c>
      <c r="T13" s="17"/>
      <c r="U13" s="16"/>
      <c r="V13" s="16">
        <f t="shared" si="85"/>
        <v>4</v>
      </c>
      <c r="W13" s="17"/>
      <c r="X13" s="16"/>
      <c r="Y13" s="16">
        <f t="shared" si="86"/>
        <v>4</v>
      </c>
      <c r="Z13" s="17"/>
      <c r="AA13" s="16"/>
      <c r="AB13" s="16">
        <f t="shared" si="87"/>
        <v>4</v>
      </c>
      <c r="AC13" s="17"/>
      <c r="AD13" s="16"/>
      <c r="AE13" s="16">
        <f t="shared" si="88"/>
        <v>4</v>
      </c>
      <c r="AF13" s="17"/>
      <c r="AG13" s="16"/>
      <c r="AH13" s="16">
        <f t="shared" si="89"/>
        <v>4</v>
      </c>
      <c r="AI13" s="17"/>
      <c r="AJ13" s="16"/>
      <c r="AK13" s="16">
        <f t="shared" si="90"/>
        <v>4</v>
      </c>
      <c r="AL13" s="17"/>
      <c r="AM13" s="16"/>
      <c r="AN13" s="16">
        <f t="shared" si="91"/>
        <v>4</v>
      </c>
      <c r="AO13" s="17"/>
      <c r="AP13" s="16"/>
      <c r="AQ13" s="16">
        <f t="shared" si="92"/>
        <v>4</v>
      </c>
      <c r="AR13" s="17"/>
      <c r="AS13" s="16"/>
      <c r="AT13" s="16">
        <f t="shared" si="93"/>
        <v>4</v>
      </c>
      <c r="AU13" s="17"/>
      <c r="AV13" s="16"/>
      <c r="AW13" s="16">
        <f t="shared" si="94"/>
        <v>4</v>
      </c>
      <c r="AX13" s="17"/>
      <c r="AY13" s="16"/>
      <c r="AZ13" s="16">
        <f t="shared" si="95"/>
        <v>4</v>
      </c>
      <c r="BA13" s="17"/>
      <c r="BB13" s="16"/>
      <c r="BC13" s="16">
        <f t="shared" si="96"/>
        <v>4</v>
      </c>
      <c r="BD13" s="17"/>
      <c r="BE13" s="16"/>
      <c r="BF13" s="16">
        <f t="shared" si="97"/>
        <v>4</v>
      </c>
      <c r="BG13" s="17"/>
      <c r="BH13" s="16"/>
      <c r="BI13" s="16">
        <f t="shared" si="98"/>
        <v>4</v>
      </c>
      <c r="BJ13" s="17"/>
      <c r="BK13" s="16"/>
      <c r="BL13" s="16">
        <f t="shared" si="99"/>
        <v>4</v>
      </c>
      <c r="BM13" s="17"/>
      <c r="BN13" s="16"/>
      <c r="BO13" s="16">
        <f t="shared" si="100"/>
        <v>4</v>
      </c>
      <c r="BP13" s="17"/>
      <c r="BQ13" s="18">
        <f t="shared" si="101"/>
        <v>0</v>
      </c>
      <c r="BR13" s="18">
        <f t="shared" si="102"/>
        <v>4</v>
      </c>
      <c r="BS13" s="31"/>
      <c r="BT13" s="31"/>
      <c r="BU13" s="31"/>
      <c r="BV13" s="31"/>
    </row>
    <row r="14" ht="42.75" customHeight="1">
      <c r="A14" s="31"/>
      <c r="B14" s="19"/>
      <c r="C14" s="19"/>
      <c r="D14" s="15" t="s">
        <v>163</v>
      </c>
      <c r="E14" s="15" t="s">
        <v>70</v>
      </c>
      <c r="F14" s="15" t="s">
        <v>80</v>
      </c>
      <c r="G14" s="15" t="s">
        <v>164</v>
      </c>
      <c r="H14" s="15">
        <v>6</v>
      </c>
      <c r="I14" s="16"/>
      <c r="J14" s="16">
        <f t="shared" si="81"/>
        <v>6</v>
      </c>
      <c r="K14" s="17"/>
      <c r="L14" s="16"/>
      <c r="M14" s="16">
        <f t="shared" si="82"/>
        <v>6</v>
      </c>
      <c r="N14" s="17"/>
      <c r="O14" s="16"/>
      <c r="P14" s="16">
        <f t="shared" si="83"/>
        <v>6</v>
      </c>
      <c r="Q14" s="17"/>
      <c r="R14" s="16"/>
      <c r="S14" s="16">
        <f t="shared" si="84"/>
        <v>6</v>
      </c>
      <c r="T14" s="17"/>
      <c r="U14" s="16"/>
      <c r="V14" s="16">
        <f t="shared" si="85"/>
        <v>6</v>
      </c>
      <c r="W14" s="17"/>
      <c r="X14" s="16"/>
      <c r="Y14" s="16">
        <f t="shared" si="86"/>
        <v>6</v>
      </c>
      <c r="Z14" s="17"/>
      <c r="AA14" s="16"/>
      <c r="AB14" s="16">
        <f t="shared" si="87"/>
        <v>6</v>
      </c>
      <c r="AC14" s="17"/>
      <c r="AD14" s="16"/>
      <c r="AE14" s="16">
        <f t="shared" si="88"/>
        <v>6</v>
      </c>
      <c r="AF14" s="17"/>
      <c r="AG14" s="16"/>
      <c r="AH14" s="16">
        <f t="shared" si="89"/>
        <v>6</v>
      </c>
      <c r="AI14" s="17"/>
      <c r="AJ14" s="16"/>
      <c r="AK14" s="16">
        <f t="shared" si="90"/>
        <v>6</v>
      </c>
      <c r="AL14" s="17"/>
      <c r="AM14" s="16"/>
      <c r="AN14" s="16">
        <f t="shared" si="91"/>
        <v>6</v>
      </c>
      <c r="AO14" s="17"/>
      <c r="AP14" s="16"/>
      <c r="AQ14" s="16">
        <f t="shared" si="92"/>
        <v>6</v>
      </c>
      <c r="AR14" s="17"/>
      <c r="AS14" s="16"/>
      <c r="AT14" s="16">
        <f t="shared" si="93"/>
        <v>6</v>
      </c>
      <c r="AU14" s="17"/>
      <c r="AV14" s="16"/>
      <c r="AW14" s="16">
        <f t="shared" si="94"/>
        <v>6</v>
      </c>
      <c r="AX14" s="17"/>
      <c r="AY14" s="16"/>
      <c r="AZ14" s="16">
        <f t="shared" si="95"/>
        <v>6</v>
      </c>
      <c r="BA14" s="17"/>
      <c r="BB14" s="16"/>
      <c r="BC14" s="16">
        <f t="shared" si="96"/>
        <v>6</v>
      </c>
      <c r="BD14" s="17"/>
      <c r="BE14" s="16"/>
      <c r="BF14" s="16">
        <f t="shared" si="97"/>
        <v>6</v>
      </c>
      <c r="BG14" s="17"/>
      <c r="BH14" s="16"/>
      <c r="BI14" s="16">
        <f t="shared" si="98"/>
        <v>6</v>
      </c>
      <c r="BJ14" s="17"/>
      <c r="BK14" s="16"/>
      <c r="BL14" s="16">
        <f t="shared" si="99"/>
        <v>6</v>
      </c>
      <c r="BM14" s="17"/>
      <c r="BN14" s="16"/>
      <c r="BO14" s="16">
        <f t="shared" si="100"/>
        <v>6</v>
      </c>
      <c r="BP14" s="17"/>
      <c r="BQ14" s="18">
        <f t="shared" si="101"/>
        <v>0</v>
      </c>
      <c r="BR14" s="18">
        <f t="shared" si="102"/>
        <v>6</v>
      </c>
      <c r="BS14" s="31"/>
      <c r="BT14" s="31"/>
      <c r="BU14" s="31"/>
      <c r="BV14" s="31"/>
    </row>
    <row r="15" ht="42.75" customHeight="1">
      <c r="A15" s="31"/>
      <c r="B15" s="19"/>
      <c r="C15" s="19"/>
      <c r="D15" s="15" t="s">
        <v>165</v>
      </c>
      <c r="E15" s="15" t="s">
        <v>67</v>
      </c>
      <c r="F15" s="15" t="s">
        <v>80</v>
      </c>
      <c r="G15" s="15" t="s">
        <v>166</v>
      </c>
      <c r="H15" s="15">
        <v>2</v>
      </c>
      <c r="I15" s="16"/>
      <c r="J15" s="16">
        <f t="shared" si="81"/>
        <v>2</v>
      </c>
      <c r="K15" s="17"/>
      <c r="L15" s="16"/>
      <c r="M15" s="16">
        <f t="shared" si="82"/>
        <v>2</v>
      </c>
      <c r="N15" s="17"/>
      <c r="O15" s="16"/>
      <c r="P15" s="16">
        <f t="shared" si="83"/>
        <v>2</v>
      </c>
      <c r="Q15" s="17"/>
      <c r="R15" s="16"/>
      <c r="S15" s="16">
        <f t="shared" si="84"/>
        <v>2</v>
      </c>
      <c r="T15" s="17"/>
      <c r="U15" s="16"/>
      <c r="V15" s="16">
        <f t="shared" si="85"/>
        <v>2</v>
      </c>
      <c r="W15" s="17"/>
      <c r="X15" s="16"/>
      <c r="Y15" s="16">
        <f t="shared" si="86"/>
        <v>2</v>
      </c>
      <c r="Z15" s="17"/>
      <c r="AA15" s="16"/>
      <c r="AB15" s="16">
        <f t="shared" si="87"/>
        <v>2</v>
      </c>
      <c r="AC15" s="17"/>
      <c r="AD15" s="16"/>
      <c r="AE15" s="16">
        <f t="shared" si="88"/>
        <v>2</v>
      </c>
      <c r="AF15" s="17"/>
      <c r="AG15" s="16"/>
      <c r="AH15" s="16">
        <f t="shared" si="89"/>
        <v>2</v>
      </c>
      <c r="AI15" s="17"/>
      <c r="AJ15" s="16"/>
      <c r="AK15" s="16">
        <f t="shared" si="90"/>
        <v>2</v>
      </c>
      <c r="AL15" s="17"/>
      <c r="AM15" s="16"/>
      <c r="AN15" s="16">
        <f t="shared" si="91"/>
        <v>2</v>
      </c>
      <c r="AO15" s="17"/>
      <c r="AP15" s="16"/>
      <c r="AQ15" s="16">
        <f t="shared" si="92"/>
        <v>2</v>
      </c>
      <c r="AR15" s="17"/>
      <c r="AS15" s="16"/>
      <c r="AT15" s="16">
        <f t="shared" si="93"/>
        <v>2</v>
      </c>
      <c r="AU15" s="17"/>
      <c r="AV15" s="16"/>
      <c r="AW15" s="16">
        <f t="shared" si="94"/>
        <v>2</v>
      </c>
      <c r="AX15" s="17"/>
      <c r="AY15" s="16"/>
      <c r="AZ15" s="16">
        <f t="shared" si="95"/>
        <v>2</v>
      </c>
      <c r="BA15" s="17"/>
      <c r="BB15" s="16"/>
      <c r="BC15" s="16">
        <f t="shared" si="96"/>
        <v>2</v>
      </c>
      <c r="BD15" s="17"/>
      <c r="BE15" s="16"/>
      <c r="BF15" s="16">
        <f t="shared" si="97"/>
        <v>2</v>
      </c>
      <c r="BG15" s="17"/>
      <c r="BH15" s="16"/>
      <c r="BI15" s="16">
        <f t="shared" si="98"/>
        <v>2</v>
      </c>
      <c r="BJ15" s="17"/>
      <c r="BK15" s="16"/>
      <c r="BL15" s="16">
        <f t="shared" si="99"/>
        <v>2</v>
      </c>
      <c r="BM15" s="17"/>
      <c r="BN15" s="16"/>
      <c r="BO15" s="16">
        <f t="shared" si="100"/>
        <v>2</v>
      </c>
      <c r="BP15" s="17"/>
      <c r="BQ15" s="18">
        <f t="shared" si="101"/>
        <v>0</v>
      </c>
      <c r="BR15" s="18">
        <f t="shared" si="102"/>
        <v>2</v>
      </c>
      <c r="BS15" s="31"/>
      <c r="BT15" s="31"/>
      <c r="BU15" s="31"/>
      <c r="BV15" s="31"/>
    </row>
    <row r="16" ht="42.75" customHeight="1">
      <c r="A16" s="31"/>
      <c r="B16" s="19"/>
      <c r="C16" s="19"/>
      <c r="D16" s="15" t="s">
        <v>167</v>
      </c>
      <c r="E16" s="15" t="s">
        <v>70</v>
      </c>
      <c r="F16" s="15" t="s">
        <v>80</v>
      </c>
      <c r="G16" s="15" t="s">
        <v>168</v>
      </c>
      <c r="H16" s="15">
        <v>4</v>
      </c>
      <c r="I16" s="16"/>
      <c r="J16" s="16">
        <f t="shared" si="81"/>
        <v>4</v>
      </c>
      <c r="K16" s="17"/>
      <c r="L16" s="16"/>
      <c r="M16" s="16">
        <f t="shared" si="82"/>
        <v>4</v>
      </c>
      <c r="N16" s="17"/>
      <c r="O16" s="16"/>
      <c r="P16" s="16">
        <f t="shared" si="83"/>
        <v>4</v>
      </c>
      <c r="Q16" s="17"/>
      <c r="R16" s="16"/>
      <c r="S16" s="16">
        <f t="shared" si="84"/>
        <v>4</v>
      </c>
      <c r="T16" s="17"/>
      <c r="U16" s="16"/>
      <c r="V16" s="16">
        <f t="shared" si="85"/>
        <v>4</v>
      </c>
      <c r="W16" s="17"/>
      <c r="X16" s="16"/>
      <c r="Y16" s="16">
        <f t="shared" si="86"/>
        <v>4</v>
      </c>
      <c r="Z16" s="17"/>
      <c r="AA16" s="16"/>
      <c r="AB16" s="16">
        <f t="shared" si="87"/>
        <v>4</v>
      </c>
      <c r="AC16" s="17"/>
      <c r="AD16" s="16"/>
      <c r="AE16" s="16">
        <f t="shared" si="88"/>
        <v>4</v>
      </c>
      <c r="AF16" s="17"/>
      <c r="AG16" s="16"/>
      <c r="AH16" s="16">
        <f t="shared" si="89"/>
        <v>4</v>
      </c>
      <c r="AI16" s="17"/>
      <c r="AJ16" s="16"/>
      <c r="AK16" s="16">
        <f t="shared" si="90"/>
        <v>4</v>
      </c>
      <c r="AL16" s="17"/>
      <c r="AM16" s="16"/>
      <c r="AN16" s="16">
        <f t="shared" si="91"/>
        <v>4</v>
      </c>
      <c r="AO16" s="17"/>
      <c r="AP16" s="16"/>
      <c r="AQ16" s="16">
        <f t="shared" si="92"/>
        <v>4</v>
      </c>
      <c r="AR16" s="17"/>
      <c r="AS16" s="16"/>
      <c r="AT16" s="16">
        <f t="shared" si="93"/>
        <v>4</v>
      </c>
      <c r="AU16" s="17"/>
      <c r="AV16" s="16"/>
      <c r="AW16" s="16">
        <f t="shared" si="94"/>
        <v>4</v>
      </c>
      <c r="AX16" s="17"/>
      <c r="AY16" s="16"/>
      <c r="AZ16" s="16">
        <f t="shared" si="95"/>
        <v>4</v>
      </c>
      <c r="BA16" s="17"/>
      <c r="BB16" s="16"/>
      <c r="BC16" s="16">
        <f t="shared" si="96"/>
        <v>4</v>
      </c>
      <c r="BD16" s="17"/>
      <c r="BE16" s="16"/>
      <c r="BF16" s="16">
        <f t="shared" si="97"/>
        <v>4</v>
      </c>
      <c r="BG16" s="17"/>
      <c r="BH16" s="16"/>
      <c r="BI16" s="16">
        <f t="shared" si="98"/>
        <v>4</v>
      </c>
      <c r="BJ16" s="17"/>
      <c r="BK16" s="16"/>
      <c r="BL16" s="16">
        <f t="shared" si="99"/>
        <v>4</v>
      </c>
      <c r="BM16" s="17"/>
      <c r="BN16" s="16"/>
      <c r="BO16" s="16">
        <f t="shared" si="100"/>
        <v>4</v>
      </c>
      <c r="BP16" s="17"/>
      <c r="BQ16" s="18">
        <f t="shared" si="101"/>
        <v>0</v>
      </c>
      <c r="BR16" s="18">
        <f t="shared" si="102"/>
        <v>4</v>
      </c>
      <c r="BS16" s="31"/>
      <c r="BT16" s="31"/>
      <c r="BU16" s="31"/>
      <c r="BV16" s="31"/>
    </row>
    <row r="17" ht="42.75" customHeight="1">
      <c r="A17" s="31"/>
      <c r="B17" s="21"/>
      <c r="C17" s="21"/>
      <c r="D17" s="15" t="s">
        <v>169</v>
      </c>
      <c r="E17" s="15" t="s">
        <v>36</v>
      </c>
      <c r="F17" s="15" t="s">
        <v>80</v>
      </c>
      <c r="G17" s="15" t="s">
        <v>170</v>
      </c>
      <c r="H17" s="15">
        <v>2</v>
      </c>
      <c r="I17" s="16"/>
      <c r="J17" s="16">
        <f t="shared" si="81"/>
        <v>2</v>
      </c>
      <c r="K17" s="17"/>
      <c r="L17" s="16"/>
      <c r="M17" s="16">
        <f t="shared" si="82"/>
        <v>2</v>
      </c>
      <c r="N17" s="17"/>
      <c r="O17" s="16"/>
      <c r="P17" s="16">
        <f t="shared" si="83"/>
        <v>2</v>
      </c>
      <c r="Q17" s="17"/>
      <c r="R17" s="16"/>
      <c r="S17" s="16">
        <f t="shared" si="84"/>
        <v>2</v>
      </c>
      <c r="T17" s="17"/>
      <c r="U17" s="16"/>
      <c r="V17" s="16">
        <f t="shared" si="85"/>
        <v>2</v>
      </c>
      <c r="W17" s="17"/>
      <c r="X17" s="16"/>
      <c r="Y17" s="16">
        <f t="shared" si="86"/>
        <v>2</v>
      </c>
      <c r="Z17" s="17"/>
      <c r="AA17" s="16"/>
      <c r="AB17" s="16">
        <f t="shared" si="87"/>
        <v>2</v>
      </c>
      <c r="AC17" s="17"/>
      <c r="AD17" s="16"/>
      <c r="AE17" s="16">
        <f t="shared" si="88"/>
        <v>2</v>
      </c>
      <c r="AF17" s="17"/>
      <c r="AG17" s="16"/>
      <c r="AH17" s="16">
        <f t="shared" si="89"/>
        <v>2</v>
      </c>
      <c r="AI17" s="17"/>
      <c r="AJ17" s="16"/>
      <c r="AK17" s="16">
        <f t="shared" si="90"/>
        <v>2</v>
      </c>
      <c r="AL17" s="17"/>
      <c r="AM17" s="16"/>
      <c r="AN17" s="16">
        <f t="shared" si="91"/>
        <v>2</v>
      </c>
      <c r="AO17" s="17"/>
      <c r="AP17" s="16"/>
      <c r="AQ17" s="16">
        <f t="shared" si="92"/>
        <v>2</v>
      </c>
      <c r="AR17" s="17"/>
      <c r="AS17" s="16"/>
      <c r="AT17" s="16">
        <f t="shared" si="93"/>
        <v>2</v>
      </c>
      <c r="AU17" s="17"/>
      <c r="AV17" s="16"/>
      <c r="AW17" s="16">
        <f t="shared" si="94"/>
        <v>2</v>
      </c>
      <c r="AX17" s="17"/>
      <c r="AY17" s="16"/>
      <c r="AZ17" s="16">
        <f t="shared" si="95"/>
        <v>2</v>
      </c>
      <c r="BA17" s="17"/>
      <c r="BB17" s="16"/>
      <c r="BC17" s="16">
        <f t="shared" si="96"/>
        <v>2</v>
      </c>
      <c r="BD17" s="17"/>
      <c r="BE17" s="16"/>
      <c r="BF17" s="16">
        <f t="shared" si="97"/>
        <v>2</v>
      </c>
      <c r="BG17" s="17"/>
      <c r="BH17" s="16"/>
      <c r="BI17" s="16">
        <f t="shared" si="98"/>
        <v>2</v>
      </c>
      <c r="BJ17" s="17"/>
      <c r="BK17" s="16"/>
      <c r="BL17" s="16">
        <f t="shared" si="99"/>
        <v>2</v>
      </c>
      <c r="BM17" s="17"/>
      <c r="BN17" s="16"/>
      <c r="BO17" s="16">
        <f t="shared" si="100"/>
        <v>2</v>
      </c>
      <c r="BP17" s="17"/>
      <c r="BQ17" s="18">
        <f t="shared" si="101"/>
        <v>0</v>
      </c>
      <c r="BR17" s="18">
        <f t="shared" si="102"/>
        <v>2</v>
      </c>
      <c r="BS17" s="31"/>
      <c r="BT17" s="31"/>
      <c r="BU17" s="31"/>
      <c r="BV17" s="31"/>
    </row>
    <row r="18" ht="42.75" customHeight="1">
      <c r="A18" s="31"/>
      <c r="B18" s="12" t="s">
        <v>171</v>
      </c>
      <c r="C18" s="37" t="s">
        <v>172</v>
      </c>
      <c r="D18" s="15" t="s">
        <v>173</v>
      </c>
      <c r="E18" s="15" t="s">
        <v>67</v>
      </c>
      <c r="F18" s="15" t="s">
        <v>80</v>
      </c>
      <c r="G18" s="15" t="s">
        <v>174</v>
      </c>
      <c r="H18" s="15">
        <v>1</v>
      </c>
      <c r="I18" s="16"/>
      <c r="J18" s="16">
        <f t="shared" si="81"/>
        <v>1</v>
      </c>
      <c r="K18" s="17"/>
      <c r="L18" s="16"/>
      <c r="M18" s="16">
        <f t="shared" si="82"/>
        <v>1</v>
      </c>
      <c r="N18" s="17"/>
      <c r="O18" s="16"/>
      <c r="P18" s="16">
        <f t="shared" si="83"/>
        <v>1</v>
      </c>
      <c r="Q18" s="17"/>
      <c r="R18" s="16"/>
      <c r="S18" s="16">
        <f t="shared" si="84"/>
        <v>1</v>
      </c>
      <c r="T18" s="17"/>
      <c r="U18" s="16"/>
      <c r="V18" s="16">
        <f t="shared" si="85"/>
        <v>1</v>
      </c>
      <c r="W18" s="17"/>
      <c r="X18" s="16"/>
      <c r="Y18" s="16">
        <f t="shared" si="86"/>
        <v>1</v>
      </c>
      <c r="Z18" s="17"/>
      <c r="AA18" s="16"/>
      <c r="AB18" s="16">
        <f t="shared" si="87"/>
        <v>1</v>
      </c>
      <c r="AC18" s="17"/>
      <c r="AD18" s="16"/>
      <c r="AE18" s="16">
        <f t="shared" si="88"/>
        <v>1</v>
      </c>
      <c r="AF18" s="17"/>
      <c r="AG18" s="16"/>
      <c r="AH18" s="16">
        <f t="shared" si="89"/>
        <v>1</v>
      </c>
      <c r="AI18" s="17"/>
      <c r="AJ18" s="16"/>
      <c r="AK18" s="16">
        <f t="shared" si="90"/>
        <v>1</v>
      </c>
      <c r="AL18" s="17"/>
      <c r="AM18" s="16"/>
      <c r="AN18" s="16">
        <f t="shared" si="91"/>
        <v>1</v>
      </c>
      <c r="AO18" s="17"/>
      <c r="AP18" s="16"/>
      <c r="AQ18" s="16">
        <f t="shared" si="92"/>
        <v>1</v>
      </c>
      <c r="AR18" s="17"/>
      <c r="AS18" s="16"/>
      <c r="AT18" s="16">
        <f t="shared" si="93"/>
        <v>1</v>
      </c>
      <c r="AU18" s="17"/>
      <c r="AV18" s="16"/>
      <c r="AW18" s="16">
        <f t="shared" si="94"/>
        <v>1</v>
      </c>
      <c r="AX18" s="17"/>
      <c r="AY18" s="16"/>
      <c r="AZ18" s="16"/>
      <c r="BA18" s="17"/>
      <c r="BB18" s="16"/>
      <c r="BC18" s="16">
        <f t="shared" si="96"/>
        <v>0</v>
      </c>
      <c r="BD18" s="17"/>
      <c r="BE18" s="16"/>
      <c r="BF18" s="16"/>
      <c r="BG18" s="17"/>
      <c r="BH18" s="16"/>
      <c r="BI18" s="16">
        <f t="shared" si="98"/>
        <v>0</v>
      </c>
      <c r="BJ18" s="17"/>
      <c r="BK18" s="16"/>
      <c r="BL18" s="16">
        <f t="shared" si="99"/>
        <v>0</v>
      </c>
      <c r="BM18" s="17"/>
      <c r="BN18" s="16"/>
      <c r="BO18" s="16">
        <f t="shared" si="100"/>
        <v>0</v>
      </c>
      <c r="BP18" s="17"/>
      <c r="BQ18" s="18">
        <f t="shared" si="101"/>
        <v>0</v>
      </c>
      <c r="BR18" s="18">
        <f t="shared" si="102"/>
        <v>1</v>
      </c>
      <c r="BS18" s="31"/>
      <c r="BT18" s="31"/>
      <c r="BU18" s="31"/>
      <c r="BV18" s="31"/>
    </row>
    <row r="19" ht="42.75" customHeight="1">
      <c r="A19" s="31"/>
      <c r="B19" s="19"/>
      <c r="C19" s="19"/>
      <c r="D19" s="15" t="s">
        <v>175</v>
      </c>
      <c r="E19" s="15" t="s">
        <v>67</v>
      </c>
      <c r="F19" s="15" t="s">
        <v>80</v>
      </c>
      <c r="G19" s="15" t="s">
        <v>176</v>
      </c>
      <c r="H19" s="15">
        <v>2</v>
      </c>
      <c r="I19" s="16"/>
      <c r="J19" s="16">
        <f t="shared" si="81"/>
        <v>2</v>
      </c>
      <c r="K19" s="17"/>
      <c r="L19" s="16"/>
      <c r="M19" s="16">
        <f t="shared" si="82"/>
        <v>2</v>
      </c>
      <c r="N19" s="17"/>
      <c r="O19" s="16"/>
      <c r="P19" s="16">
        <f t="shared" si="83"/>
        <v>2</v>
      </c>
      <c r="Q19" s="17"/>
      <c r="R19" s="16"/>
      <c r="S19" s="16">
        <f t="shared" si="84"/>
        <v>2</v>
      </c>
      <c r="T19" s="17"/>
      <c r="U19" s="16"/>
      <c r="V19" s="16">
        <f t="shared" si="85"/>
        <v>2</v>
      </c>
      <c r="W19" s="17"/>
      <c r="X19" s="16"/>
      <c r="Y19" s="16">
        <f t="shared" si="86"/>
        <v>2</v>
      </c>
      <c r="Z19" s="17"/>
      <c r="AA19" s="16"/>
      <c r="AB19" s="16">
        <f t="shared" si="87"/>
        <v>2</v>
      </c>
      <c r="AC19" s="17"/>
      <c r="AD19" s="16"/>
      <c r="AE19" s="16">
        <f t="shared" si="88"/>
        <v>2</v>
      </c>
      <c r="AF19" s="17"/>
      <c r="AG19" s="16"/>
      <c r="AH19" s="16">
        <f t="shared" si="89"/>
        <v>2</v>
      </c>
      <c r="AI19" s="17"/>
      <c r="AJ19" s="16"/>
      <c r="AK19" s="16">
        <f t="shared" si="90"/>
        <v>2</v>
      </c>
      <c r="AL19" s="17"/>
      <c r="AM19" s="16"/>
      <c r="AN19" s="16">
        <f t="shared" si="91"/>
        <v>2</v>
      </c>
      <c r="AO19" s="17"/>
      <c r="AP19" s="16"/>
      <c r="AQ19" s="16">
        <f t="shared" si="92"/>
        <v>2</v>
      </c>
      <c r="AR19" s="17"/>
      <c r="AS19" s="16"/>
      <c r="AT19" s="16">
        <f t="shared" si="93"/>
        <v>2</v>
      </c>
      <c r="AU19" s="17"/>
      <c r="AV19" s="16"/>
      <c r="AW19" s="16">
        <f t="shared" si="94"/>
        <v>2</v>
      </c>
      <c r="AX19" s="17"/>
      <c r="AY19" s="16"/>
      <c r="AZ19" s="16"/>
      <c r="BA19" s="17"/>
      <c r="BB19" s="16"/>
      <c r="BC19" s="16">
        <f t="shared" si="96"/>
        <v>0</v>
      </c>
      <c r="BD19" s="17"/>
      <c r="BE19" s="16"/>
      <c r="BF19" s="16"/>
      <c r="BG19" s="17"/>
      <c r="BH19" s="16"/>
      <c r="BI19" s="16">
        <f t="shared" si="98"/>
        <v>0</v>
      </c>
      <c r="BJ19" s="17"/>
      <c r="BK19" s="16"/>
      <c r="BL19" s="16">
        <f t="shared" si="99"/>
        <v>0</v>
      </c>
      <c r="BM19" s="17"/>
      <c r="BN19" s="16"/>
      <c r="BO19" s="16">
        <f t="shared" si="100"/>
        <v>0</v>
      </c>
      <c r="BP19" s="17"/>
      <c r="BQ19" s="18">
        <f t="shared" si="101"/>
        <v>0</v>
      </c>
      <c r="BR19" s="18">
        <f t="shared" si="102"/>
        <v>2</v>
      </c>
      <c r="BS19" s="31"/>
      <c r="BT19" s="31"/>
      <c r="BU19" s="31"/>
      <c r="BV19" s="31"/>
    </row>
    <row r="20" ht="42.75" customHeight="1">
      <c r="A20" s="31"/>
      <c r="B20" s="19"/>
      <c r="C20" s="19"/>
      <c r="D20" s="15" t="s">
        <v>177</v>
      </c>
      <c r="E20" s="15" t="s">
        <v>67</v>
      </c>
      <c r="F20" s="15" t="s">
        <v>80</v>
      </c>
      <c r="G20" s="15" t="s">
        <v>178</v>
      </c>
      <c r="H20" s="15">
        <v>2</v>
      </c>
      <c r="I20" s="16"/>
      <c r="J20" s="16">
        <f t="shared" si="81"/>
        <v>2</v>
      </c>
      <c r="K20" s="17"/>
      <c r="L20" s="16"/>
      <c r="M20" s="16">
        <f t="shared" si="82"/>
        <v>2</v>
      </c>
      <c r="N20" s="17"/>
      <c r="O20" s="16"/>
      <c r="P20" s="16">
        <f t="shared" si="83"/>
        <v>2</v>
      </c>
      <c r="Q20" s="17"/>
      <c r="R20" s="16"/>
      <c r="S20" s="16">
        <f t="shared" si="84"/>
        <v>2</v>
      </c>
      <c r="T20" s="17"/>
      <c r="U20" s="16"/>
      <c r="V20" s="16">
        <f t="shared" si="85"/>
        <v>2</v>
      </c>
      <c r="W20" s="17"/>
      <c r="X20" s="16"/>
      <c r="Y20" s="16">
        <f t="shared" si="86"/>
        <v>2</v>
      </c>
      <c r="Z20" s="17"/>
      <c r="AA20" s="16"/>
      <c r="AB20" s="16">
        <f t="shared" si="87"/>
        <v>2</v>
      </c>
      <c r="AC20" s="17"/>
      <c r="AD20" s="16"/>
      <c r="AE20" s="16">
        <f t="shared" si="88"/>
        <v>2</v>
      </c>
      <c r="AF20" s="17"/>
      <c r="AG20" s="16"/>
      <c r="AH20" s="16">
        <f t="shared" si="89"/>
        <v>2</v>
      </c>
      <c r="AI20" s="17"/>
      <c r="AJ20" s="16"/>
      <c r="AK20" s="16">
        <f t="shared" si="90"/>
        <v>2</v>
      </c>
      <c r="AL20" s="17"/>
      <c r="AM20" s="16"/>
      <c r="AN20" s="16">
        <f t="shared" si="91"/>
        <v>2</v>
      </c>
      <c r="AO20" s="17"/>
      <c r="AP20" s="16"/>
      <c r="AQ20" s="16">
        <f t="shared" si="92"/>
        <v>2</v>
      </c>
      <c r="AR20" s="17"/>
      <c r="AS20" s="16"/>
      <c r="AT20" s="16">
        <f t="shared" si="93"/>
        <v>2</v>
      </c>
      <c r="AU20" s="17"/>
      <c r="AV20" s="16"/>
      <c r="AW20" s="16">
        <f t="shared" si="94"/>
        <v>2</v>
      </c>
      <c r="AX20" s="17"/>
      <c r="AY20" s="16"/>
      <c r="AZ20" s="16"/>
      <c r="BA20" s="17"/>
      <c r="BB20" s="16"/>
      <c r="BC20" s="16">
        <f t="shared" si="96"/>
        <v>0</v>
      </c>
      <c r="BD20" s="17"/>
      <c r="BE20" s="16"/>
      <c r="BF20" s="16"/>
      <c r="BG20" s="17"/>
      <c r="BH20" s="16"/>
      <c r="BI20" s="16">
        <f t="shared" si="98"/>
        <v>0</v>
      </c>
      <c r="BJ20" s="17"/>
      <c r="BK20" s="16"/>
      <c r="BL20" s="16">
        <f t="shared" si="99"/>
        <v>0</v>
      </c>
      <c r="BM20" s="17"/>
      <c r="BN20" s="16"/>
      <c r="BO20" s="16">
        <f t="shared" si="100"/>
        <v>0</v>
      </c>
      <c r="BP20" s="17"/>
      <c r="BQ20" s="18">
        <f t="shared" si="101"/>
        <v>0</v>
      </c>
      <c r="BR20" s="18">
        <f t="shared" si="102"/>
        <v>2</v>
      </c>
      <c r="BS20" s="31"/>
      <c r="BT20" s="31"/>
      <c r="BU20" s="31"/>
      <c r="BV20" s="31"/>
    </row>
    <row r="21" ht="42.75" customHeight="1">
      <c r="A21" s="31"/>
      <c r="B21" s="21"/>
      <c r="C21" s="21"/>
      <c r="D21" s="15" t="s">
        <v>179</v>
      </c>
      <c r="E21" s="15" t="s">
        <v>67</v>
      </c>
      <c r="F21" s="15" t="s">
        <v>80</v>
      </c>
      <c r="G21" s="15" t="s">
        <v>180</v>
      </c>
      <c r="H21" s="15">
        <v>2</v>
      </c>
      <c r="I21" s="16"/>
      <c r="J21" s="16">
        <f t="shared" si="81"/>
        <v>2</v>
      </c>
      <c r="K21" s="17"/>
      <c r="L21" s="16"/>
      <c r="M21" s="16">
        <f t="shared" si="82"/>
        <v>2</v>
      </c>
      <c r="N21" s="17"/>
      <c r="O21" s="16"/>
      <c r="P21" s="16">
        <f t="shared" si="83"/>
        <v>2</v>
      </c>
      <c r="Q21" s="17"/>
      <c r="R21" s="16"/>
      <c r="S21" s="16">
        <f t="shared" si="84"/>
        <v>2</v>
      </c>
      <c r="T21" s="17"/>
      <c r="U21" s="16"/>
      <c r="V21" s="16">
        <f t="shared" si="85"/>
        <v>2</v>
      </c>
      <c r="W21" s="17"/>
      <c r="X21" s="16"/>
      <c r="Y21" s="16">
        <f t="shared" si="86"/>
        <v>2</v>
      </c>
      <c r="Z21" s="17"/>
      <c r="AA21" s="16"/>
      <c r="AB21" s="16">
        <f t="shared" si="87"/>
        <v>2</v>
      </c>
      <c r="AC21" s="17"/>
      <c r="AD21" s="16"/>
      <c r="AE21" s="16">
        <f t="shared" si="88"/>
        <v>2</v>
      </c>
      <c r="AF21" s="17"/>
      <c r="AG21" s="16"/>
      <c r="AH21" s="16">
        <f t="shared" si="89"/>
        <v>2</v>
      </c>
      <c r="AI21" s="17"/>
      <c r="AJ21" s="16"/>
      <c r="AK21" s="16">
        <f t="shared" si="90"/>
        <v>2</v>
      </c>
      <c r="AL21" s="17"/>
      <c r="AM21" s="16"/>
      <c r="AN21" s="16">
        <f t="shared" si="91"/>
        <v>2</v>
      </c>
      <c r="AO21" s="17"/>
      <c r="AP21" s="16"/>
      <c r="AQ21" s="16">
        <f t="shared" si="92"/>
        <v>2</v>
      </c>
      <c r="AR21" s="17"/>
      <c r="AS21" s="16"/>
      <c r="AT21" s="16">
        <f t="shared" si="93"/>
        <v>2</v>
      </c>
      <c r="AU21" s="17"/>
      <c r="AV21" s="16"/>
      <c r="AW21" s="16">
        <f t="shared" si="94"/>
        <v>2</v>
      </c>
      <c r="AX21" s="17"/>
      <c r="AY21" s="16"/>
      <c r="AZ21" s="16"/>
      <c r="BA21" s="17"/>
      <c r="BB21" s="16"/>
      <c r="BC21" s="16">
        <f t="shared" si="96"/>
        <v>0</v>
      </c>
      <c r="BD21" s="17"/>
      <c r="BE21" s="16"/>
      <c r="BF21" s="16"/>
      <c r="BG21" s="17"/>
      <c r="BH21" s="16"/>
      <c r="BI21" s="16">
        <f t="shared" si="98"/>
        <v>0</v>
      </c>
      <c r="BJ21" s="17"/>
      <c r="BK21" s="16"/>
      <c r="BL21" s="16">
        <f t="shared" si="99"/>
        <v>0</v>
      </c>
      <c r="BM21" s="17"/>
      <c r="BN21" s="16"/>
      <c r="BO21" s="16">
        <f t="shared" si="100"/>
        <v>0</v>
      </c>
      <c r="BP21" s="17"/>
      <c r="BQ21" s="18">
        <f t="shared" si="101"/>
        <v>0</v>
      </c>
      <c r="BR21" s="18">
        <f t="shared" si="102"/>
        <v>2</v>
      </c>
      <c r="BS21" s="31"/>
      <c r="BT21" s="31"/>
      <c r="BU21" s="31"/>
      <c r="BV21" s="31"/>
    </row>
    <row r="22" ht="42.75" customHeight="1">
      <c r="A22" s="31"/>
      <c r="B22" s="12" t="s">
        <v>181</v>
      </c>
      <c r="C22" s="37" t="s">
        <v>182</v>
      </c>
      <c r="D22" s="15" t="s">
        <v>183</v>
      </c>
      <c r="E22" s="15" t="s">
        <v>67</v>
      </c>
      <c r="F22" s="15" t="s">
        <v>80</v>
      </c>
      <c r="G22" s="15" t="s">
        <v>184</v>
      </c>
      <c r="H22" s="15">
        <v>2</v>
      </c>
      <c r="I22" s="16"/>
      <c r="J22" s="16">
        <f t="shared" si="81"/>
        <v>2</v>
      </c>
      <c r="K22" s="17"/>
      <c r="L22" s="16"/>
      <c r="M22" s="16">
        <f t="shared" si="82"/>
        <v>2</v>
      </c>
      <c r="N22" s="17"/>
      <c r="O22" s="16"/>
      <c r="P22" s="16">
        <f t="shared" si="83"/>
        <v>2</v>
      </c>
      <c r="Q22" s="17"/>
      <c r="R22" s="16"/>
      <c r="S22" s="16">
        <f t="shared" si="84"/>
        <v>2</v>
      </c>
      <c r="T22" s="17"/>
      <c r="U22" s="16"/>
      <c r="V22" s="16">
        <f t="shared" si="85"/>
        <v>2</v>
      </c>
      <c r="W22" s="17"/>
      <c r="X22" s="16"/>
      <c r="Y22" s="16">
        <f t="shared" si="86"/>
        <v>2</v>
      </c>
      <c r="Z22" s="17"/>
      <c r="AA22" s="16"/>
      <c r="AB22" s="16">
        <f t="shared" si="87"/>
        <v>2</v>
      </c>
      <c r="AC22" s="17"/>
      <c r="AD22" s="16"/>
      <c r="AE22" s="16">
        <f t="shared" si="88"/>
        <v>2</v>
      </c>
      <c r="AF22" s="17"/>
      <c r="AG22" s="16"/>
      <c r="AH22" s="16">
        <f t="shared" si="89"/>
        <v>2</v>
      </c>
      <c r="AI22" s="17"/>
      <c r="AJ22" s="16"/>
      <c r="AK22" s="16">
        <f t="shared" si="90"/>
        <v>2</v>
      </c>
      <c r="AL22" s="17"/>
      <c r="AM22" s="16"/>
      <c r="AN22" s="16">
        <f t="shared" si="91"/>
        <v>2</v>
      </c>
      <c r="AO22" s="17"/>
      <c r="AP22" s="16"/>
      <c r="AQ22" s="16">
        <f t="shared" si="92"/>
        <v>2</v>
      </c>
      <c r="AR22" s="17"/>
      <c r="AS22" s="16"/>
      <c r="AT22" s="16">
        <f t="shared" si="93"/>
        <v>2</v>
      </c>
      <c r="AU22" s="17"/>
      <c r="AV22" s="16"/>
      <c r="AW22" s="16">
        <f t="shared" si="94"/>
        <v>2</v>
      </c>
      <c r="AX22" s="17"/>
      <c r="AY22" s="16"/>
      <c r="AZ22" s="16"/>
      <c r="BA22" s="17"/>
      <c r="BB22" s="16"/>
      <c r="BC22" s="16">
        <f t="shared" si="96"/>
        <v>0</v>
      </c>
      <c r="BD22" s="17"/>
      <c r="BE22" s="16"/>
      <c r="BF22" s="16"/>
      <c r="BG22" s="17"/>
      <c r="BH22" s="16"/>
      <c r="BI22" s="16">
        <f t="shared" si="98"/>
        <v>0</v>
      </c>
      <c r="BJ22" s="17"/>
      <c r="BK22" s="16"/>
      <c r="BL22" s="16">
        <f t="shared" si="99"/>
        <v>0</v>
      </c>
      <c r="BM22" s="17"/>
      <c r="BN22" s="16"/>
      <c r="BO22" s="16">
        <f t="shared" si="100"/>
        <v>0</v>
      </c>
      <c r="BP22" s="17"/>
      <c r="BQ22" s="18">
        <f t="shared" si="101"/>
        <v>0</v>
      </c>
      <c r="BR22" s="18">
        <f t="shared" si="102"/>
        <v>2</v>
      </c>
      <c r="BS22" s="31"/>
      <c r="BT22" s="31"/>
      <c r="BU22" s="31"/>
      <c r="BV22" s="31"/>
    </row>
    <row r="23" ht="42.75" customHeight="1">
      <c r="A23" s="31"/>
      <c r="B23" s="19"/>
      <c r="C23" s="19"/>
      <c r="D23" s="15" t="s">
        <v>185</v>
      </c>
      <c r="E23" s="15" t="s">
        <v>70</v>
      </c>
      <c r="F23" s="15" t="s">
        <v>80</v>
      </c>
      <c r="G23" s="15" t="s">
        <v>186</v>
      </c>
      <c r="H23" s="15">
        <v>2</v>
      </c>
      <c r="I23" s="16"/>
      <c r="J23" s="16">
        <f t="shared" si="81"/>
        <v>2</v>
      </c>
      <c r="K23" s="17"/>
      <c r="L23" s="16"/>
      <c r="M23" s="16">
        <f t="shared" si="82"/>
        <v>2</v>
      </c>
      <c r="N23" s="17"/>
      <c r="O23" s="16"/>
      <c r="P23" s="16">
        <f t="shared" si="83"/>
        <v>2</v>
      </c>
      <c r="Q23" s="17"/>
      <c r="R23" s="16"/>
      <c r="S23" s="16">
        <f t="shared" si="84"/>
        <v>2</v>
      </c>
      <c r="T23" s="17"/>
      <c r="U23" s="16"/>
      <c r="V23" s="16">
        <f t="shared" si="85"/>
        <v>2</v>
      </c>
      <c r="W23" s="17"/>
      <c r="X23" s="16"/>
      <c r="Y23" s="16">
        <f t="shared" si="86"/>
        <v>2</v>
      </c>
      <c r="Z23" s="17"/>
      <c r="AA23" s="16"/>
      <c r="AB23" s="16">
        <f t="shared" si="87"/>
        <v>2</v>
      </c>
      <c r="AC23" s="17"/>
      <c r="AD23" s="16"/>
      <c r="AE23" s="16">
        <f t="shared" si="88"/>
        <v>2</v>
      </c>
      <c r="AF23" s="17"/>
      <c r="AG23" s="16"/>
      <c r="AH23" s="16">
        <f t="shared" si="89"/>
        <v>2</v>
      </c>
      <c r="AI23" s="17"/>
      <c r="AJ23" s="16"/>
      <c r="AK23" s="16">
        <f t="shared" si="90"/>
        <v>2</v>
      </c>
      <c r="AL23" s="17"/>
      <c r="AM23" s="16"/>
      <c r="AN23" s="16">
        <f t="shared" si="91"/>
        <v>2</v>
      </c>
      <c r="AO23" s="17"/>
      <c r="AP23" s="16"/>
      <c r="AQ23" s="16">
        <f t="shared" si="92"/>
        <v>2</v>
      </c>
      <c r="AR23" s="17"/>
      <c r="AS23" s="16"/>
      <c r="AT23" s="16">
        <f t="shared" si="93"/>
        <v>2</v>
      </c>
      <c r="AU23" s="17"/>
      <c r="AV23" s="16"/>
      <c r="AW23" s="16">
        <f t="shared" si="94"/>
        <v>2</v>
      </c>
      <c r="AX23" s="17"/>
      <c r="AY23" s="16"/>
      <c r="AZ23" s="16"/>
      <c r="BA23" s="17"/>
      <c r="BB23" s="16"/>
      <c r="BC23" s="16">
        <f t="shared" si="96"/>
        <v>0</v>
      </c>
      <c r="BD23" s="17"/>
      <c r="BE23" s="16"/>
      <c r="BF23" s="16"/>
      <c r="BG23" s="17"/>
      <c r="BH23" s="16"/>
      <c r="BI23" s="16">
        <f t="shared" si="98"/>
        <v>0</v>
      </c>
      <c r="BJ23" s="17"/>
      <c r="BK23" s="16"/>
      <c r="BL23" s="16">
        <f t="shared" si="99"/>
        <v>0</v>
      </c>
      <c r="BM23" s="17"/>
      <c r="BN23" s="16"/>
      <c r="BO23" s="16">
        <f t="shared" si="100"/>
        <v>0</v>
      </c>
      <c r="BP23" s="17"/>
      <c r="BQ23" s="18">
        <f t="shared" si="101"/>
        <v>0</v>
      </c>
      <c r="BR23" s="18">
        <f t="shared" si="102"/>
        <v>2</v>
      </c>
      <c r="BS23" s="31"/>
      <c r="BT23" s="31"/>
      <c r="BU23" s="31"/>
      <c r="BV23" s="31"/>
    </row>
    <row r="24" ht="42.75" customHeight="1">
      <c r="A24" s="31"/>
      <c r="B24" s="19"/>
      <c r="C24" s="19"/>
      <c r="D24" s="15" t="s">
        <v>187</v>
      </c>
      <c r="E24" s="15" t="s">
        <v>67</v>
      </c>
      <c r="F24" s="15" t="s">
        <v>80</v>
      </c>
      <c r="G24" s="15" t="s">
        <v>188</v>
      </c>
      <c r="H24" s="15">
        <v>1</v>
      </c>
      <c r="I24" s="16"/>
      <c r="J24" s="16">
        <f t="shared" si="81"/>
        <v>1</v>
      </c>
      <c r="K24" s="17"/>
      <c r="L24" s="16"/>
      <c r="M24" s="16">
        <f t="shared" si="82"/>
        <v>1</v>
      </c>
      <c r="N24" s="17"/>
      <c r="O24" s="16"/>
      <c r="P24" s="16">
        <f t="shared" si="83"/>
        <v>1</v>
      </c>
      <c r="Q24" s="17"/>
      <c r="R24" s="16"/>
      <c r="S24" s="16">
        <f t="shared" si="84"/>
        <v>1</v>
      </c>
      <c r="T24" s="17"/>
      <c r="U24" s="16"/>
      <c r="V24" s="16">
        <f t="shared" si="85"/>
        <v>1</v>
      </c>
      <c r="W24" s="17"/>
      <c r="X24" s="16"/>
      <c r="Y24" s="16">
        <f t="shared" si="86"/>
        <v>1</v>
      </c>
      <c r="Z24" s="17"/>
      <c r="AA24" s="16"/>
      <c r="AB24" s="16">
        <f t="shared" si="87"/>
        <v>1</v>
      </c>
      <c r="AC24" s="17"/>
      <c r="AD24" s="16"/>
      <c r="AE24" s="16">
        <f t="shared" si="88"/>
        <v>1</v>
      </c>
      <c r="AF24" s="17"/>
      <c r="AG24" s="16"/>
      <c r="AH24" s="16">
        <f t="shared" si="89"/>
        <v>1</v>
      </c>
      <c r="AI24" s="17"/>
      <c r="AJ24" s="16"/>
      <c r="AK24" s="16">
        <f t="shared" si="90"/>
        <v>1</v>
      </c>
      <c r="AL24" s="17"/>
      <c r="AM24" s="16"/>
      <c r="AN24" s="16">
        <f t="shared" si="91"/>
        <v>1</v>
      </c>
      <c r="AO24" s="17"/>
      <c r="AP24" s="16"/>
      <c r="AQ24" s="16">
        <f t="shared" si="92"/>
        <v>1</v>
      </c>
      <c r="AR24" s="17"/>
      <c r="AS24" s="16"/>
      <c r="AT24" s="16">
        <f t="shared" si="93"/>
        <v>1</v>
      </c>
      <c r="AU24" s="17"/>
      <c r="AV24" s="16"/>
      <c r="AW24" s="16">
        <f t="shared" si="94"/>
        <v>1</v>
      </c>
      <c r="AX24" s="17"/>
      <c r="AY24" s="16"/>
      <c r="AZ24" s="16"/>
      <c r="BA24" s="17"/>
      <c r="BB24" s="16"/>
      <c r="BC24" s="16">
        <f t="shared" si="96"/>
        <v>0</v>
      </c>
      <c r="BD24" s="17"/>
      <c r="BE24" s="16"/>
      <c r="BF24" s="16"/>
      <c r="BG24" s="17"/>
      <c r="BH24" s="16"/>
      <c r="BI24" s="16">
        <f t="shared" si="98"/>
        <v>0</v>
      </c>
      <c r="BJ24" s="17"/>
      <c r="BK24" s="16"/>
      <c r="BL24" s="16">
        <f t="shared" si="99"/>
        <v>0</v>
      </c>
      <c r="BM24" s="17"/>
      <c r="BN24" s="16"/>
      <c r="BO24" s="16">
        <f t="shared" si="100"/>
        <v>0</v>
      </c>
      <c r="BP24" s="17"/>
      <c r="BQ24" s="18">
        <f t="shared" si="101"/>
        <v>0</v>
      </c>
      <c r="BR24" s="18">
        <f t="shared" si="102"/>
        <v>1</v>
      </c>
      <c r="BS24" s="31"/>
      <c r="BT24" s="31"/>
      <c r="BU24" s="31"/>
      <c r="BV24" s="31"/>
    </row>
    <row r="25" ht="42.75" customHeight="1">
      <c r="A25" s="31"/>
      <c r="B25" s="21"/>
      <c r="C25" s="21"/>
      <c r="D25" s="15" t="s">
        <v>189</v>
      </c>
      <c r="E25" s="15" t="s">
        <v>70</v>
      </c>
      <c r="F25" s="15" t="s">
        <v>80</v>
      </c>
      <c r="G25" s="15" t="s">
        <v>190</v>
      </c>
      <c r="H25" s="15">
        <v>2</v>
      </c>
      <c r="I25" s="16"/>
      <c r="J25" s="16">
        <f t="shared" si="81"/>
        <v>2</v>
      </c>
      <c r="K25" s="17"/>
      <c r="L25" s="16"/>
      <c r="M25" s="16">
        <f t="shared" si="82"/>
        <v>2</v>
      </c>
      <c r="N25" s="17"/>
      <c r="O25" s="16"/>
      <c r="P25" s="16">
        <f t="shared" si="83"/>
        <v>2</v>
      </c>
      <c r="Q25" s="17"/>
      <c r="R25" s="16"/>
      <c r="S25" s="16">
        <f t="shared" si="84"/>
        <v>2</v>
      </c>
      <c r="T25" s="17"/>
      <c r="U25" s="16"/>
      <c r="V25" s="16">
        <f t="shared" si="85"/>
        <v>2</v>
      </c>
      <c r="W25" s="17"/>
      <c r="X25" s="16"/>
      <c r="Y25" s="16">
        <f t="shared" si="86"/>
        <v>2</v>
      </c>
      <c r="Z25" s="17"/>
      <c r="AA25" s="16"/>
      <c r="AB25" s="16">
        <f t="shared" si="87"/>
        <v>2</v>
      </c>
      <c r="AC25" s="17"/>
      <c r="AD25" s="16"/>
      <c r="AE25" s="16">
        <f t="shared" si="88"/>
        <v>2</v>
      </c>
      <c r="AF25" s="17"/>
      <c r="AG25" s="16"/>
      <c r="AH25" s="16">
        <f t="shared" si="89"/>
        <v>2</v>
      </c>
      <c r="AI25" s="17"/>
      <c r="AJ25" s="16"/>
      <c r="AK25" s="16">
        <f t="shared" si="90"/>
        <v>2</v>
      </c>
      <c r="AL25" s="17"/>
      <c r="AM25" s="16"/>
      <c r="AN25" s="16">
        <f t="shared" si="91"/>
        <v>2</v>
      </c>
      <c r="AO25" s="17"/>
      <c r="AP25" s="16"/>
      <c r="AQ25" s="16">
        <f t="shared" si="92"/>
        <v>2</v>
      </c>
      <c r="AR25" s="17"/>
      <c r="AS25" s="16"/>
      <c r="AT25" s="16">
        <f t="shared" si="93"/>
        <v>2</v>
      </c>
      <c r="AU25" s="17"/>
      <c r="AV25" s="16"/>
      <c r="AW25" s="16">
        <f t="shared" si="94"/>
        <v>2</v>
      </c>
      <c r="AX25" s="17"/>
      <c r="AY25" s="16"/>
      <c r="AZ25" s="16"/>
      <c r="BA25" s="17"/>
      <c r="BB25" s="16"/>
      <c r="BC25" s="16">
        <f t="shared" si="96"/>
        <v>0</v>
      </c>
      <c r="BD25" s="17"/>
      <c r="BE25" s="16"/>
      <c r="BF25" s="16"/>
      <c r="BG25" s="17"/>
      <c r="BH25" s="16"/>
      <c r="BI25" s="16">
        <f t="shared" si="98"/>
        <v>0</v>
      </c>
      <c r="BJ25" s="17"/>
      <c r="BK25" s="16"/>
      <c r="BL25" s="16">
        <f t="shared" si="99"/>
        <v>0</v>
      </c>
      <c r="BM25" s="17"/>
      <c r="BN25" s="16"/>
      <c r="BO25" s="16">
        <f t="shared" si="100"/>
        <v>0</v>
      </c>
      <c r="BP25" s="17"/>
      <c r="BQ25" s="18">
        <f t="shared" si="101"/>
        <v>0</v>
      </c>
      <c r="BR25" s="18">
        <f t="shared" si="102"/>
        <v>2</v>
      </c>
      <c r="BS25" s="31"/>
      <c r="BT25" s="31"/>
      <c r="BU25" s="31"/>
      <c r="BV25" s="31"/>
    </row>
    <row r="26" ht="42.75" customHeight="1">
      <c r="A26" s="31"/>
      <c r="B26" s="12" t="s">
        <v>191</v>
      </c>
      <c r="C26" s="37" t="s">
        <v>192</v>
      </c>
      <c r="D26" s="15" t="s">
        <v>193</v>
      </c>
      <c r="E26" s="15" t="s">
        <v>67</v>
      </c>
      <c r="F26" s="15" t="s">
        <v>80</v>
      </c>
      <c r="G26" s="15" t="s">
        <v>194</v>
      </c>
      <c r="H26" s="15">
        <v>1</v>
      </c>
      <c r="I26" s="16"/>
      <c r="J26" s="16">
        <f t="shared" si="81"/>
        <v>1</v>
      </c>
      <c r="K26" s="17"/>
      <c r="L26" s="16"/>
      <c r="M26" s="16">
        <f t="shared" si="82"/>
        <v>1</v>
      </c>
      <c r="N26" s="17"/>
      <c r="O26" s="16"/>
      <c r="P26" s="16">
        <f t="shared" si="83"/>
        <v>1</v>
      </c>
      <c r="Q26" s="17"/>
      <c r="R26" s="16"/>
      <c r="S26" s="16">
        <f t="shared" si="84"/>
        <v>1</v>
      </c>
      <c r="T26" s="17"/>
      <c r="U26" s="16"/>
      <c r="V26" s="16">
        <f t="shared" si="85"/>
        <v>1</v>
      </c>
      <c r="W26" s="17"/>
      <c r="X26" s="16"/>
      <c r="Y26" s="16">
        <f t="shared" si="86"/>
        <v>1</v>
      </c>
      <c r="Z26" s="17"/>
      <c r="AA26" s="16"/>
      <c r="AB26" s="16">
        <f t="shared" si="87"/>
        <v>1</v>
      </c>
      <c r="AC26" s="17"/>
      <c r="AD26" s="16"/>
      <c r="AE26" s="16">
        <f t="shared" si="88"/>
        <v>1</v>
      </c>
      <c r="AF26" s="17"/>
      <c r="AG26" s="16"/>
      <c r="AH26" s="16">
        <f t="shared" si="89"/>
        <v>1</v>
      </c>
      <c r="AI26" s="17"/>
      <c r="AJ26" s="16"/>
      <c r="AK26" s="16">
        <f t="shared" si="90"/>
        <v>1</v>
      </c>
      <c r="AL26" s="17"/>
      <c r="AM26" s="16"/>
      <c r="AN26" s="16">
        <f t="shared" si="91"/>
        <v>1</v>
      </c>
      <c r="AO26" s="17"/>
      <c r="AP26" s="16"/>
      <c r="AQ26" s="16">
        <f t="shared" si="92"/>
        <v>1</v>
      </c>
      <c r="AR26" s="17"/>
      <c r="AS26" s="16"/>
      <c r="AT26" s="16">
        <f t="shared" si="93"/>
        <v>1</v>
      </c>
      <c r="AU26" s="17"/>
      <c r="AV26" s="16"/>
      <c r="AW26" s="16">
        <f t="shared" si="94"/>
        <v>1</v>
      </c>
      <c r="AX26" s="17"/>
      <c r="AY26" s="16"/>
      <c r="AZ26" s="16"/>
      <c r="BA26" s="17"/>
      <c r="BB26" s="16"/>
      <c r="BC26" s="16">
        <f t="shared" si="96"/>
        <v>0</v>
      </c>
      <c r="BD26" s="17"/>
      <c r="BE26" s="16"/>
      <c r="BF26" s="16"/>
      <c r="BG26" s="17"/>
      <c r="BH26" s="16"/>
      <c r="BI26" s="16">
        <f t="shared" si="98"/>
        <v>0</v>
      </c>
      <c r="BJ26" s="17"/>
      <c r="BK26" s="16"/>
      <c r="BL26" s="16">
        <f t="shared" si="99"/>
        <v>0</v>
      </c>
      <c r="BM26" s="17"/>
      <c r="BN26" s="16"/>
      <c r="BO26" s="16">
        <f t="shared" si="100"/>
        <v>0</v>
      </c>
      <c r="BP26" s="17"/>
      <c r="BQ26" s="18">
        <f t="shared" si="101"/>
        <v>0</v>
      </c>
      <c r="BR26" s="18">
        <f t="shared" si="102"/>
        <v>1</v>
      </c>
      <c r="BS26" s="31"/>
      <c r="BT26" s="31"/>
      <c r="BU26" s="31"/>
      <c r="BV26" s="31"/>
    </row>
    <row r="27" ht="42.75" customHeight="1">
      <c r="A27" s="31"/>
      <c r="B27" s="19"/>
      <c r="C27" s="19"/>
      <c r="D27" s="15" t="s">
        <v>195</v>
      </c>
      <c r="E27" s="15" t="s">
        <v>70</v>
      </c>
      <c r="F27" s="15" t="s">
        <v>80</v>
      </c>
      <c r="G27" s="15" t="s">
        <v>196</v>
      </c>
      <c r="H27" s="15">
        <v>2</v>
      </c>
      <c r="I27" s="16"/>
      <c r="J27" s="16">
        <f t="shared" si="81"/>
        <v>2</v>
      </c>
      <c r="K27" s="17"/>
      <c r="L27" s="16"/>
      <c r="M27" s="16">
        <f t="shared" si="82"/>
        <v>2</v>
      </c>
      <c r="N27" s="17"/>
      <c r="O27" s="16"/>
      <c r="P27" s="16">
        <f t="shared" si="83"/>
        <v>2</v>
      </c>
      <c r="Q27" s="17"/>
      <c r="R27" s="16"/>
      <c r="S27" s="16">
        <f t="shared" si="84"/>
        <v>2</v>
      </c>
      <c r="T27" s="17"/>
      <c r="U27" s="16"/>
      <c r="V27" s="16">
        <f t="shared" si="85"/>
        <v>2</v>
      </c>
      <c r="W27" s="17"/>
      <c r="X27" s="16"/>
      <c r="Y27" s="16">
        <f t="shared" si="86"/>
        <v>2</v>
      </c>
      <c r="Z27" s="17"/>
      <c r="AA27" s="16"/>
      <c r="AB27" s="16">
        <f t="shared" si="87"/>
        <v>2</v>
      </c>
      <c r="AC27" s="17"/>
      <c r="AD27" s="16"/>
      <c r="AE27" s="16">
        <f t="shared" si="88"/>
        <v>2</v>
      </c>
      <c r="AF27" s="17"/>
      <c r="AG27" s="16"/>
      <c r="AH27" s="16">
        <f t="shared" si="89"/>
        <v>2</v>
      </c>
      <c r="AI27" s="17"/>
      <c r="AJ27" s="16"/>
      <c r="AK27" s="16">
        <f t="shared" si="90"/>
        <v>2</v>
      </c>
      <c r="AL27" s="17"/>
      <c r="AM27" s="16"/>
      <c r="AN27" s="16">
        <f t="shared" si="91"/>
        <v>2</v>
      </c>
      <c r="AO27" s="17"/>
      <c r="AP27" s="16"/>
      <c r="AQ27" s="16">
        <f t="shared" si="92"/>
        <v>2</v>
      </c>
      <c r="AR27" s="17"/>
      <c r="AS27" s="16"/>
      <c r="AT27" s="16">
        <f t="shared" si="93"/>
        <v>2</v>
      </c>
      <c r="AU27" s="17"/>
      <c r="AV27" s="16"/>
      <c r="AW27" s="16">
        <f t="shared" si="94"/>
        <v>2</v>
      </c>
      <c r="AX27" s="17"/>
      <c r="AY27" s="16"/>
      <c r="AZ27" s="16"/>
      <c r="BA27" s="17"/>
      <c r="BB27" s="16"/>
      <c r="BC27" s="16">
        <f t="shared" si="96"/>
        <v>0</v>
      </c>
      <c r="BD27" s="17"/>
      <c r="BE27" s="16"/>
      <c r="BF27" s="16"/>
      <c r="BG27" s="17"/>
      <c r="BH27" s="16"/>
      <c r="BI27" s="16">
        <f t="shared" si="98"/>
        <v>0</v>
      </c>
      <c r="BJ27" s="17"/>
      <c r="BK27" s="16"/>
      <c r="BL27" s="16">
        <f t="shared" si="99"/>
        <v>0</v>
      </c>
      <c r="BM27" s="17"/>
      <c r="BN27" s="16"/>
      <c r="BO27" s="16">
        <f t="shared" si="100"/>
        <v>0</v>
      </c>
      <c r="BP27" s="17"/>
      <c r="BQ27" s="18">
        <f t="shared" si="101"/>
        <v>0</v>
      </c>
      <c r="BR27" s="18">
        <f t="shared" si="102"/>
        <v>2</v>
      </c>
      <c r="BS27" s="31"/>
      <c r="BT27" s="31"/>
      <c r="BU27" s="31"/>
      <c r="BV27" s="31"/>
    </row>
    <row r="28" ht="42.75" customHeight="1">
      <c r="A28" s="31"/>
      <c r="B28" s="19"/>
      <c r="C28" s="19"/>
      <c r="D28" s="15" t="s">
        <v>197</v>
      </c>
      <c r="E28" s="15" t="s">
        <v>70</v>
      </c>
      <c r="F28" s="15" t="s">
        <v>80</v>
      </c>
      <c r="G28" s="15" t="s">
        <v>198</v>
      </c>
      <c r="H28" s="15">
        <v>2</v>
      </c>
      <c r="I28" s="16"/>
      <c r="J28" s="16">
        <f t="shared" si="81"/>
        <v>2</v>
      </c>
      <c r="K28" s="17"/>
      <c r="L28" s="16"/>
      <c r="M28" s="16">
        <f t="shared" si="82"/>
        <v>2</v>
      </c>
      <c r="N28" s="17"/>
      <c r="O28" s="16"/>
      <c r="P28" s="16">
        <f t="shared" si="83"/>
        <v>2</v>
      </c>
      <c r="Q28" s="17"/>
      <c r="R28" s="16"/>
      <c r="S28" s="16">
        <f t="shared" si="84"/>
        <v>2</v>
      </c>
      <c r="T28" s="17"/>
      <c r="U28" s="16"/>
      <c r="V28" s="16">
        <f t="shared" si="85"/>
        <v>2</v>
      </c>
      <c r="W28" s="17"/>
      <c r="X28" s="16"/>
      <c r="Y28" s="16">
        <f t="shared" si="86"/>
        <v>2</v>
      </c>
      <c r="Z28" s="17"/>
      <c r="AA28" s="16"/>
      <c r="AB28" s="16">
        <f t="shared" si="87"/>
        <v>2</v>
      </c>
      <c r="AC28" s="17"/>
      <c r="AD28" s="16"/>
      <c r="AE28" s="16">
        <f t="shared" si="88"/>
        <v>2</v>
      </c>
      <c r="AF28" s="17"/>
      <c r="AG28" s="16"/>
      <c r="AH28" s="16">
        <f t="shared" si="89"/>
        <v>2</v>
      </c>
      <c r="AI28" s="17"/>
      <c r="AJ28" s="16"/>
      <c r="AK28" s="16">
        <f t="shared" si="90"/>
        <v>2</v>
      </c>
      <c r="AL28" s="17"/>
      <c r="AM28" s="16"/>
      <c r="AN28" s="16">
        <f t="shared" si="91"/>
        <v>2</v>
      </c>
      <c r="AO28" s="17"/>
      <c r="AP28" s="16"/>
      <c r="AQ28" s="16">
        <f t="shared" si="92"/>
        <v>2</v>
      </c>
      <c r="AR28" s="17"/>
      <c r="AS28" s="16"/>
      <c r="AT28" s="16">
        <f t="shared" si="93"/>
        <v>2</v>
      </c>
      <c r="AU28" s="17"/>
      <c r="AV28" s="16"/>
      <c r="AW28" s="16">
        <f t="shared" si="94"/>
        <v>2</v>
      </c>
      <c r="AX28" s="17"/>
      <c r="AY28" s="16"/>
      <c r="AZ28" s="16"/>
      <c r="BA28" s="17"/>
      <c r="BB28" s="16"/>
      <c r="BC28" s="16">
        <f t="shared" si="96"/>
        <v>0</v>
      </c>
      <c r="BD28" s="17"/>
      <c r="BE28" s="16"/>
      <c r="BF28" s="16"/>
      <c r="BG28" s="17"/>
      <c r="BH28" s="16"/>
      <c r="BI28" s="16">
        <f t="shared" si="98"/>
        <v>0</v>
      </c>
      <c r="BJ28" s="17"/>
      <c r="BK28" s="16"/>
      <c r="BL28" s="16">
        <f t="shared" si="99"/>
        <v>0</v>
      </c>
      <c r="BM28" s="17"/>
      <c r="BN28" s="16"/>
      <c r="BO28" s="16">
        <f t="shared" si="100"/>
        <v>0</v>
      </c>
      <c r="BP28" s="17"/>
      <c r="BQ28" s="18">
        <f t="shared" si="101"/>
        <v>0</v>
      </c>
      <c r="BR28" s="18">
        <f t="shared" si="102"/>
        <v>2</v>
      </c>
      <c r="BS28" s="31"/>
      <c r="BT28" s="31"/>
      <c r="BU28" s="31"/>
      <c r="BV28" s="31"/>
    </row>
    <row r="29" ht="42.75" customHeight="1">
      <c r="A29" s="31"/>
      <c r="B29" s="21"/>
      <c r="C29" s="21"/>
      <c r="D29" s="15" t="s">
        <v>199</v>
      </c>
      <c r="E29" s="15" t="s">
        <v>70</v>
      </c>
      <c r="F29" s="15" t="s">
        <v>80</v>
      </c>
      <c r="G29" s="15" t="s">
        <v>200</v>
      </c>
      <c r="H29" s="15">
        <v>2</v>
      </c>
      <c r="I29" s="16"/>
      <c r="J29" s="16">
        <f t="shared" si="81"/>
        <v>2</v>
      </c>
      <c r="K29" s="17"/>
      <c r="L29" s="16"/>
      <c r="M29" s="16">
        <f t="shared" si="82"/>
        <v>2</v>
      </c>
      <c r="N29" s="17"/>
      <c r="O29" s="16"/>
      <c r="P29" s="16">
        <f t="shared" si="83"/>
        <v>2</v>
      </c>
      <c r="Q29" s="17"/>
      <c r="R29" s="16"/>
      <c r="S29" s="16">
        <f t="shared" si="84"/>
        <v>2</v>
      </c>
      <c r="T29" s="17"/>
      <c r="U29" s="16"/>
      <c r="V29" s="16">
        <f t="shared" si="85"/>
        <v>2</v>
      </c>
      <c r="W29" s="17"/>
      <c r="X29" s="16"/>
      <c r="Y29" s="16">
        <f t="shared" si="86"/>
        <v>2</v>
      </c>
      <c r="Z29" s="17"/>
      <c r="AA29" s="16"/>
      <c r="AB29" s="16">
        <f t="shared" si="87"/>
        <v>2</v>
      </c>
      <c r="AC29" s="17"/>
      <c r="AD29" s="16"/>
      <c r="AE29" s="16">
        <f t="shared" si="88"/>
        <v>2</v>
      </c>
      <c r="AF29" s="17"/>
      <c r="AG29" s="16"/>
      <c r="AH29" s="16">
        <f t="shared" si="89"/>
        <v>2</v>
      </c>
      <c r="AI29" s="17"/>
      <c r="AJ29" s="16"/>
      <c r="AK29" s="16">
        <f t="shared" si="90"/>
        <v>2</v>
      </c>
      <c r="AL29" s="17"/>
      <c r="AM29" s="16"/>
      <c r="AN29" s="16">
        <f t="shared" si="91"/>
        <v>2</v>
      </c>
      <c r="AO29" s="17"/>
      <c r="AP29" s="16"/>
      <c r="AQ29" s="16">
        <f t="shared" si="92"/>
        <v>2</v>
      </c>
      <c r="AR29" s="17"/>
      <c r="AS29" s="16"/>
      <c r="AT29" s="16">
        <f t="shared" si="93"/>
        <v>2</v>
      </c>
      <c r="AU29" s="17"/>
      <c r="AV29" s="16"/>
      <c r="AW29" s="16">
        <f t="shared" si="94"/>
        <v>2</v>
      </c>
      <c r="AX29" s="17"/>
      <c r="AY29" s="16"/>
      <c r="AZ29" s="16"/>
      <c r="BA29" s="17"/>
      <c r="BB29" s="16"/>
      <c r="BC29" s="16">
        <f t="shared" si="96"/>
        <v>0</v>
      </c>
      <c r="BD29" s="17"/>
      <c r="BE29" s="16"/>
      <c r="BF29" s="16"/>
      <c r="BG29" s="17"/>
      <c r="BH29" s="16"/>
      <c r="BI29" s="16">
        <f t="shared" si="98"/>
        <v>0</v>
      </c>
      <c r="BJ29" s="17"/>
      <c r="BK29" s="16"/>
      <c r="BL29" s="16">
        <f t="shared" si="99"/>
        <v>0</v>
      </c>
      <c r="BM29" s="17"/>
      <c r="BN29" s="16"/>
      <c r="BO29" s="16">
        <f t="shared" si="100"/>
        <v>0</v>
      </c>
      <c r="BP29" s="17"/>
      <c r="BQ29" s="18">
        <f t="shared" si="101"/>
        <v>0</v>
      </c>
      <c r="BR29" s="18">
        <f t="shared" si="102"/>
        <v>2</v>
      </c>
      <c r="BS29" s="31"/>
      <c r="BT29" s="31"/>
      <c r="BU29" s="31"/>
      <c r="BV29" s="31"/>
    </row>
    <row r="30" ht="42.75" customHeight="1">
      <c r="A30" s="31"/>
      <c r="B30" s="12" t="s">
        <v>201</v>
      </c>
      <c r="C30" s="37" t="s">
        <v>202</v>
      </c>
      <c r="D30" s="15" t="s">
        <v>203</v>
      </c>
      <c r="E30" s="15" t="s">
        <v>67</v>
      </c>
      <c r="F30" s="15" t="s">
        <v>80</v>
      </c>
      <c r="G30" s="15" t="s">
        <v>204</v>
      </c>
      <c r="H30" s="15">
        <v>1</v>
      </c>
      <c r="I30" s="16"/>
      <c r="J30" s="16">
        <f t="shared" si="81"/>
        <v>1</v>
      </c>
      <c r="K30" s="17"/>
      <c r="L30" s="16"/>
      <c r="M30" s="16">
        <f t="shared" si="82"/>
        <v>1</v>
      </c>
      <c r="N30" s="17"/>
      <c r="O30" s="16"/>
      <c r="P30" s="16">
        <f t="shared" si="83"/>
        <v>1</v>
      </c>
      <c r="Q30" s="17"/>
      <c r="R30" s="16"/>
      <c r="S30" s="16">
        <f t="shared" si="84"/>
        <v>1</v>
      </c>
      <c r="T30" s="17"/>
      <c r="U30" s="16"/>
      <c r="V30" s="16">
        <f t="shared" si="85"/>
        <v>1</v>
      </c>
      <c r="W30" s="17"/>
      <c r="X30" s="16"/>
      <c r="Y30" s="16">
        <f t="shared" si="86"/>
        <v>1</v>
      </c>
      <c r="Z30" s="17"/>
      <c r="AA30" s="16"/>
      <c r="AB30" s="16">
        <f t="shared" si="87"/>
        <v>1</v>
      </c>
      <c r="AC30" s="17"/>
      <c r="AD30" s="16"/>
      <c r="AE30" s="16">
        <f t="shared" si="88"/>
        <v>1</v>
      </c>
      <c r="AF30" s="17"/>
      <c r="AG30" s="16"/>
      <c r="AH30" s="16">
        <f t="shared" si="89"/>
        <v>1</v>
      </c>
      <c r="AI30" s="17"/>
      <c r="AJ30" s="16"/>
      <c r="AK30" s="16">
        <f t="shared" si="90"/>
        <v>1</v>
      </c>
      <c r="AL30" s="17"/>
      <c r="AM30" s="16"/>
      <c r="AN30" s="16">
        <f t="shared" si="91"/>
        <v>1</v>
      </c>
      <c r="AO30" s="17"/>
      <c r="AP30" s="16"/>
      <c r="AQ30" s="16">
        <f t="shared" si="92"/>
        <v>1</v>
      </c>
      <c r="AR30" s="17"/>
      <c r="AS30" s="16"/>
      <c r="AT30" s="16">
        <f t="shared" si="93"/>
        <v>1</v>
      </c>
      <c r="AU30" s="17"/>
      <c r="AV30" s="16"/>
      <c r="AW30" s="16">
        <f t="shared" si="94"/>
        <v>1</v>
      </c>
      <c r="AX30" s="17"/>
      <c r="AY30" s="16"/>
      <c r="AZ30" s="16"/>
      <c r="BA30" s="17"/>
      <c r="BB30" s="16"/>
      <c r="BC30" s="16">
        <f t="shared" si="96"/>
        <v>0</v>
      </c>
      <c r="BD30" s="17"/>
      <c r="BE30" s="16"/>
      <c r="BF30" s="16"/>
      <c r="BG30" s="17"/>
      <c r="BH30" s="16"/>
      <c r="BI30" s="16">
        <f t="shared" si="98"/>
        <v>0</v>
      </c>
      <c r="BJ30" s="17"/>
      <c r="BK30" s="16"/>
      <c r="BL30" s="16">
        <f t="shared" si="99"/>
        <v>0</v>
      </c>
      <c r="BM30" s="17"/>
      <c r="BN30" s="16"/>
      <c r="BO30" s="16">
        <f t="shared" si="100"/>
        <v>0</v>
      </c>
      <c r="BP30" s="17"/>
      <c r="BQ30" s="18">
        <f t="shared" si="101"/>
        <v>0</v>
      </c>
      <c r="BR30" s="18">
        <f t="shared" si="102"/>
        <v>1</v>
      </c>
      <c r="BS30" s="31"/>
      <c r="BT30" s="31"/>
      <c r="BU30" s="31"/>
      <c r="BV30" s="31"/>
    </row>
    <row r="31" ht="42.75" customHeight="1">
      <c r="A31" s="31"/>
      <c r="B31" s="19"/>
      <c r="C31" s="19"/>
      <c r="D31" s="15" t="s">
        <v>205</v>
      </c>
      <c r="E31" s="15" t="s">
        <v>67</v>
      </c>
      <c r="F31" s="15" t="s">
        <v>80</v>
      </c>
      <c r="G31" s="15" t="s">
        <v>206</v>
      </c>
      <c r="H31" s="15">
        <v>2</v>
      </c>
      <c r="I31" s="16"/>
      <c r="J31" s="16">
        <f t="shared" si="81"/>
        <v>2</v>
      </c>
      <c r="K31" s="17"/>
      <c r="L31" s="16"/>
      <c r="M31" s="16">
        <f t="shared" si="82"/>
        <v>2</v>
      </c>
      <c r="N31" s="17"/>
      <c r="O31" s="16"/>
      <c r="P31" s="16">
        <f t="shared" si="83"/>
        <v>2</v>
      </c>
      <c r="Q31" s="17"/>
      <c r="R31" s="16"/>
      <c r="S31" s="16">
        <f t="shared" si="84"/>
        <v>2</v>
      </c>
      <c r="T31" s="17"/>
      <c r="U31" s="16"/>
      <c r="V31" s="16">
        <f t="shared" si="85"/>
        <v>2</v>
      </c>
      <c r="W31" s="17"/>
      <c r="X31" s="16"/>
      <c r="Y31" s="16">
        <f t="shared" si="86"/>
        <v>2</v>
      </c>
      <c r="Z31" s="17"/>
      <c r="AA31" s="16"/>
      <c r="AB31" s="16">
        <f t="shared" si="87"/>
        <v>2</v>
      </c>
      <c r="AC31" s="17"/>
      <c r="AD31" s="16"/>
      <c r="AE31" s="16">
        <f t="shared" si="88"/>
        <v>2</v>
      </c>
      <c r="AF31" s="17"/>
      <c r="AG31" s="16"/>
      <c r="AH31" s="16">
        <f t="shared" si="89"/>
        <v>2</v>
      </c>
      <c r="AI31" s="17"/>
      <c r="AJ31" s="16"/>
      <c r="AK31" s="16">
        <f t="shared" si="90"/>
        <v>2</v>
      </c>
      <c r="AL31" s="17"/>
      <c r="AM31" s="16"/>
      <c r="AN31" s="16">
        <f t="shared" si="91"/>
        <v>2</v>
      </c>
      <c r="AO31" s="17"/>
      <c r="AP31" s="16"/>
      <c r="AQ31" s="16">
        <f t="shared" si="92"/>
        <v>2</v>
      </c>
      <c r="AR31" s="17"/>
      <c r="AS31" s="16"/>
      <c r="AT31" s="16">
        <f t="shared" si="93"/>
        <v>2</v>
      </c>
      <c r="AU31" s="17"/>
      <c r="AV31" s="16"/>
      <c r="AW31" s="16">
        <f t="shared" si="94"/>
        <v>2</v>
      </c>
      <c r="AX31" s="17"/>
      <c r="AY31" s="16"/>
      <c r="AZ31" s="16"/>
      <c r="BA31" s="17"/>
      <c r="BB31" s="16"/>
      <c r="BC31" s="16">
        <f t="shared" si="96"/>
        <v>0</v>
      </c>
      <c r="BD31" s="17"/>
      <c r="BE31" s="16"/>
      <c r="BF31" s="16"/>
      <c r="BG31" s="17"/>
      <c r="BH31" s="16"/>
      <c r="BI31" s="16">
        <f t="shared" si="98"/>
        <v>0</v>
      </c>
      <c r="BJ31" s="17"/>
      <c r="BK31" s="16"/>
      <c r="BL31" s="16">
        <f t="shared" si="99"/>
        <v>0</v>
      </c>
      <c r="BM31" s="17"/>
      <c r="BN31" s="16"/>
      <c r="BO31" s="16">
        <f t="shared" si="100"/>
        <v>0</v>
      </c>
      <c r="BP31" s="17"/>
      <c r="BQ31" s="18">
        <f t="shared" si="101"/>
        <v>0</v>
      </c>
      <c r="BR31" s="18">
        <f t="shared" si="102"/>
        <v>2</v>
      </c>
      <c r="BS31" s="31"/>
      <c r="BT31" s="31"/>
      <c r="BU31" s="31"/>
      <c r="BV31" s="31"/>
    </row>
    <row r="32" ht="42.75" customHeight="1">
      <c r="A32" s="31"/>
      <c r="B32" s="19"/>
      <c r="C32" s="19"/>
      <c r="D32" s="15" t="s">
        <v>207</v>
      </c>
      <c r="E32" s="15" t="s">
        <v>70</v>
      </c>
      <c r="F32" s="15" t="s">
        <v>80</v>
      </c>
      <c r="G32" s="15" t="s">
        <v>208</v>
      </c>
      <c r="H32" s="15">
        <v>2</v>
      </c>
      <c r="I32" s="16"/>
      <c r="J32" s="16">
        <f t="shared" si="81"/>
        <v>2</v>
      </c>
      <c r="K32" s="17"/>
      <c r="L32" s="16"/>
      <c r="M32" s="16">
        <f t="shared" si="82"/>
        <v>2</v>
      </c>
      <c r="N32" s="17"/>
      <c r="O32" s="16"/>
      <c r="P32" s="16">
        <f t="shared" si="83"/>
        <v>2</v>
      </c>
      <c r="Q32" s="17"/>
      <c r="R32" s="16"/>
      <c r="S32" s="16">
        <f t="shared" si="84"/>
        <v>2</v>
      </c>
      <c r="T32" s="17"/>
      <c r="U32" s="16"/>
      <c r="V32" s="16">
        <f t="shared" si="85"/>
        <v>2</v>
      </c>
      <c r="W32" s="17"/>
      <c r="X32" s="16"/>
      <c r="Y32" s="16">
        <f t="shared" si="86"/>
        <v>2</v>
      </c>
      <c r="Z32" s="17"/>
      <c r="AA32" s="16"/>
      <c r="AB32" s="16">
        <f t="shared" si="87"/>
        <v>2</v>
      </c>
      <c r="AC32" s="17"/>
      <c r="AD32" s="16"/>
      <c r="AE32" s="16">
        <f t="shared" si="88"/>
        <v>2</v>
      </c>
      <c r="AF32" s="17"/>
      <c r="AG32" s="16"/>
      <c r="AH32" s="16">
        <f t="shared" si="89"/>
        <v>2</v>
      </c>
      <c r="AI32" s="17"/>
      <c r="AJ32" s="16"/>
      <c r="AK32" s="16">
        <f t="shared" si="90"/>
        <v>2</v>
      </c>
      <c r="AL32" s="17"/>
      <c r="AM32" s="16"/>
      <c r="AN32" s="16">
        <f t="shared" si="91"/>
        <v>2</v>
      </c>
      <c r="AO32" s="17"/>
      <c r="AP32" s="16"/>
      <c r="AQ32" s="16">
        <f t="shared" si="92"/>
        <v>2</v>
      </c>
      <c r="AR32" s="17"/>
      <c r="AS32" s="16"/>
      <c r="AT32" s="16">
        <f t="shared" si="93"/>
        <v>2</v>
      </c>
      <c r="AU32" s="17"/>
      <c r="AV32" s="16"/>
      <c r="AW32" s="16">
        <f t="shared" si="94"/>
        <v>2</v>
      </c>
      <c r="AX32" s="17"/>
      <c r="AY32" s="16"/>
      <c r="AZ32" s="16"/>
      <c r="BA32" s="17"/>
      <c r="BB32" s="16"/>
      <c r="BC32" s="16">
        <f t="shared" si="96"/>
        <v>0</v>
      </c>
      <c r="BD32" s="17"/>
      <c r="BE32" s="16"/>
      <c r="BF32" s="16"/>
      <c r="BG32" s="17"/>
      <c r="BH32" s="16"/>
      <c r="BI32" s="16">
        <f t="shared" si="98"/>
        <v>0</v>
      </c>
      <c r="BJ32" s="17"/>
      <c r="BK32" s="16"/>
      <c r="BL32" s="16">
        <f t="shared" si="99"/>
        <v>0</v>
      </c>
      <c r="BM32" s="17"/>
      <c r="BN32" s="16"/>
      <c r="BO32" s="16">
        <f t="shared" si="100"/>
        <v>0</v>
      </c>
      <c r="BP32" s="17"/>
      <c r="BQ32" s="18">
        <f t="shared" si="101"/>
        <v>0</v>
      </c>
      <c r="BR32" s="18">
        <f t="shared" si="102"/>
        <v>2</v>
      </c>
      <c r="BS32" s="31"/>
      <c r="BT32" s="31"/>
      <c r="BU32" s="31"/>
      <c r="BV32" s="31"/>
    </row>
    <row r="33" ht="42.75" customHeight="1">
      <c r="A33" s="31"/>
      <c r="B33" s="19"/>
      <c r="C33" s="19"/>
      <c r="D33" s="15" t="s">
        <v>209</v>
      </c>
      <c r="E33" s="15" t="s">
        <v>70</v>
      </c>
      <c r="F33" s="15" t="s">
        <v>80</v>
      </c>
      <c r="G33" s="15" t="s">
        <v>210</v>
      </c>
      <c r="H33" s="15">
        <v>2</v>
      </c>
      <c r="I33" s="16"/>
      <c r="J33" s="16">
        <f t="shared" si="81"/>
        <v>2</v>
      </c>
      <c r="K33" s="17"/>
      <c r="L33" s="16"/>
      <c r="M33" s="16">
        <f t="shared" si="82"/>
        <v>2</v>
      </c>
      <c r="N33" s="17"/>
      <c r="O33" s="16"/>
      <c r="P33" s="16">
        <f t="shared" si="83"/>
        <v>2</v>
      </c>
      <c r="Q33" s="17"/>
      <c r="R33" s="16"/>
      <c r="S33" s="16">
        <f t="shared" si="84"/>
        <v>2</v>
      </c>
      <c r="T33" s="17"/>
      <c r="U33" s="16"/>
      <c r="V33" s="16">
        <f t="shared" si="85"/>
        <v>2</v>
      </c>
      <c r="W33" s="17"/>
      <c r="X33" s="16"/>
      <c r="Y33" s="16">
        <f t="shared" si="86"/>
        <v>2</v>
      </c>
      <c r="Z33" s="17"/>
      <c r="AA33" s="16"/>
      <c r="AB33" s="16">
        <f t="shared" si="87"/>
        <v>2</v>
      </c>
      <c r="AC33" s="17"/>
      <c r="AD33" s="16"/>
      <c r="AE33" s="16">
        <f t="shared" si="88"/>
        <v>2</v>
      </c>
      <c r="AF33" s="17"/>
      <c r="AG33" s="16"/>
      <c r="AH33" s="16">
        <f t="shared" si="89"/>
        <v>2</v>
      </c>
      <c r="AI33" s="17"/>
      <c r="AJ33" s="16"/>
      <c r="AK33" s="16">
        <f t="shared" si="90"/>
        <v>2</v>
      </c>
      <c r="AL33" s="17"/>
      <c r="AM33" s="16"/>
      <c r="AN33" s="16">
        <f t="shared" si="91"/>
        <v>2</v>
      </c>
      <c r="AO33" s="17"/>
      <c r="AP33" s="16"/>
      <c r="AQ33" s="16">
        <f t="shared" si="92"/>
        <v>2</v>
      </c>
      <c r="AR33" s="17"/>
      <c r="AS33" s="16"/>
      <c r="AT33" s="16">
        <f t="shared" si="93"/>
        <v>2</v>
      </c>
      <c r="AU33" s="17"/>
      <c r="AV33" s="16"/>
      <c r="AW33" s="16">
        <f t="shared" si="94"/>
        <v>2</v>
      </c>
      <c r="AX33" s="17"/>
      <c r="AY33" s="16"/>
      <c r="AZ33" s="16"/>
      <c r="BA33" s="17"/>
      <c r="BB33" s="16"/>
      <c r="BC33" s="16">
        <f t="shared" si="96"/>
        <v>0</v>
      </c>
      <c r="BD33" s="17"/>
      <c r="BE33" s="16"/>
      <c r="BF33" s="16"/>
      <c r="BG33" s="17"/>
      <c r="BH33" s="16"/>
      <c r="BI33" s="16">
        <f t="shared" si="98"/>
        <v>0</v>
      </c>
      <c r="BJ33" s="17"/>
      <c r="BK33" s="16"/>
      <c r="BL33" s="16">
        <f t="shared" si="99"/>
        <v>0</v>
      </c>
      <c r="BM33" s="17"/>
      <c r="BN33" s="16"/>
      <c r="BO33" s="16">
        <f t="shared" si="100"/>
        <v>0</v>
      </c>
      <c r="BP33" s="17"/>
      <c r="BQ33" s="18">
        <f t="shared" si="101"/>
        <v>0</v>
      </c>
      <c r="BR33" s="18">
        <f t="shared" si="102"/>
        <v>2</v>
      </c>
      <c r="BS33" s="31"/>
      <c r="BT33" s="31"/>
      <c r="BU33" s="31"/>
      <c r="BV33" s="31"/>
    </row>
    <row r="34" ht="42.75" customHeight="1">
      <c r="A34" s="31"/>
      <c r="B34" s="21"/>
      <c r="C34" s="21"/>
      <c r="D34" s="15" t="s">
        <v>211</v>
      </c>
      <c r="E34" s="15" t="s">
        <v>67</v>
      </c>
      <c r="F34" s="15" t="s">
        <v>80</v>
      </c>
      <c r="G34" s="15" t="s">
        <v>212</v>
      </c>
      <c r="H34" s="15">
        <v>1</v>
      </c>
      <c r="I34" s="16"/>
      <c r="J34" s="16">
        <f t="shared" si="81"/>
        <v>1</v>
      </c>
      <c r="K34" s="17"/>
      <c r="L34" s="16"/>
      <c r="M34" s="16">
        <f t="shared" si="82"/>
        <v>1</v>
      </c>
      <c r="N34" s="17"/>
      <c r="O34" s="16"/>
      <c r="P34" s="16">
        <f t="shared" si="83"/>
        <v>1</v>
      </c>
      <c r="Q34" s="17"/>
      <c r="R34" s="16"/>
      <c r="S34" s="16">
        <f t="shared" si="84"/>
        <v>1</v>
      </c>
      <c r="T34" s="17"/>
      <c r="U34" s="16"/>
      <c r="V34" s="16">
        <f t="shared" si="85"/>
        <v>1</v>
      </c>
      <c r="W34" s="17"/>
      <c r="X34" s="16"/>
      <c r="Y34" s="16">
        <f t="shared" si="86"/>
        <v>1</v>
      </c>
      <c r="Z34" s="17"/>
      <c r="AA34" s="16"/>
      <c r="AB34" s="16">
        <f t="shared" si="87"/>
        <v>1</v>
      </c>
      <c r="AC34" s="17"/>
      <c r="AD34" s="16"/>
      <c r="AE34" s="16">
        <f t="shared" si="88"/>
        <v>1</v>
      </c>
      <c r="AF34" s="17"/>
      <c r="AG34" s="16"/>
      <c r="AH34" s="16">
        <f t="shared" si="89"/>
        <v>1</v>
      </c>
      <c r="AI34" s="17"/>
      <c r="AJ34" s="16"/>
      <c r="AK34" s="16">
        <f t="shared" si="90"/>
        <v>1</v>
      </c>
      <c r="AL34" s="17"/>
      <c r="AM34" s="16"/>
      <c r="AN34" s="16">
        <f t="shared" si="91"/>
        <v>1</v>
      </c>
      <c r="AO34" s="17"/>
      <c r="AP34" s="16"/>
      <c r="AQ34" s="16">
        <f t="shared" si="92"/>
        <v>1</v>
      </c>
      <c r="AR34" s="17"/>
      <c r="AS34" s="16"/>
      <c r="AT34" s="16">
        <f t="shared" si="93"/>
        <v>1</v>
      </c>
      <c r="AU34" s="17"/>
      <c r="AV34" s="16"/>
      <c r="AW34" s="16">
        <f t="shared" si="94"/>
        <v>1</v>
      </c>
      <c r="AX34" s="17"/>
      <c r="AY34" s="16"/>
      <c r="AZ34" s="16"/>
      <c r="BA34" s="17"/>
      <c r="BB34" s="16"/>
      <c r="BC34" s="16">
        <f t="shared" si="96"/>
        <v>0</v>
      </c>
      <c r="BD34" s="17"/>
      <c r="BE34" s="16"/>
      <c r="BF34" s="16"/>
      <c r="BG34" s="17"/>
      <c r="BH34" s="16"/>
      <c r="BI34" s="16">
        <f t="shared" si="98"/>
        <v>0</v>
      </c>
      <c r="BJ34" s="17"/>
      <c r="BK34" s="16"/>
      <c r="BL34" s="16">
        <f t="shared" si="99"/>
        <v>0</v>
      </c>
      <c r="BM34" s="17"/>
      <c r="BN34" s="16"/>
      <c r="BO34" s="16">
        <f t="shared" si="100"/>
        <v>0</v>
      </c>
      <c r="BP34" s="17"/>
      <c r="BQ34" s="18">
        <f t="shared" si="101"/>
        <v>0</v>
      </c>
      <c r="BR34" s="18">
        <f t="shared" si="102"/>
        <v>1</v>
      </c>
      <c r="BS34" s="31"/>
      <c r="BT34" s="31"/>
      <c r="BU34" s="31"/>
      <c r="BV34" s="31"/>
    </row>
    <row r="35" ht="42.75" customHeight="1">
      <c r="A35" s="31"/>
      <c r="B35" s="12" t="s">
        <v>213</v>
      </c>
      <c r="C35" s="37" t="s">
        <v>214</v>
      </c>
      <c r="D35" s="15" t="s">
        <v>215</v>
      </c>
      <c r="E35" s="15" t="s">
        <v>70</v>
      </c>
      <c r="F35" s="15" t="s">
        <v>80</v>
      </c>
      <c r="G35" s="15" t="s">
        <v>216</v>
      </c>
      <c r="H35" s="15">
        <v>2</v>
      </c>
      <c r="I35" s="16"/>
      <c r="J35" s="16">
        <f t="shared" si="81"/>
        <v>2</v>
      </c>
      <c r="K35" s="17"/>
      <c r="L35" s="16"/>
      <c r="M35" s="16">
        <f t="shared" si="82"/>
        <v>2</v>
      </c>
      <c r="N35" s="17"/>
      <c r="O35" s="16"/>
      <c r="P35" s="16">
        <f t="shared" si="83"/>
        <v>2</v>
      </c>
      <c r="Q35" s="17"/>
      <c r="R35" s="16"/>
      <c r="S35" s="16">
        <f t="shared" si="84"/>
        <v>2</v>
      </c>
      <c r="T35" s="17"/>
      <c r="U35" s="16"/>
      <c r="V35" s="16">
        <f t="shared" si="85"/>
        <v>2</v>
      </c>
      <c r="W35" s="17"/>
      <c r="X35" s="16"/>
      <c r="Y35" s="16">
        <f t="shared" si="86"/>
        <v>2</v>
      </c>
      <c r="Z35" s="17"/>
      <c r="AA35" s="16"/>
      <c r="AB35" s="16">
        <f t="shared" si="87"/>
        <v>2</v>
      </c>
      <c r="AC35" s="17"/>
      <c r="AD35" s="16"/>
      <c r="AE35" s="16">
        <f t="shared" si="88"/>
        <v>2</v>
      </c>
      <c r="AF35" s="17"/>
      <c r="AG35" s="16"/>
      <c r="AH35" s="16">
        <f t="shared" si="89"/>
        <v>2</v>
      </c>
      <c r="AI35" s="17"/>
      <c r="AJ35" s="16"/>
      <c r="AK35" s="16">
        <f t="shared" si="90"/>
        <v>2</v>
      </c>
      <c r="AL35" s="17"/>
      <c r="AM35" s="16"/>
      <c r="AN35" s="16">
        <f t="shared" si="91"/>
        <v>2</v>
      </c>
      <c r="AO35" s="17"/>
      <c r="AP35" s="16"/>
      <c r="AQ35" s="16">
        <f t="shared" si="92"/>
        <v>2</v>
      </c>
      <c r="AR35" s="17"/>
      <c r="AS35" s="16"/>
      <c r="AT35" s="16">
        <f t="shared" si="93"/>
        <v>2</v>
      </c>
      <c r="AU35" s="17"/>
      <c r="AV35" s="16"/>
      <c r="AW35" s="16">
        <f t="shared" si="94"/>
        <v>2</v>
      </c>
      <c r="AX35" s="17"/>
      <c r="AY35" s="16"/>
      <c r="AZ35" s="16"/>
      <c r="BA35" s="17"/>
      <c r="BB35" s="16"/>
      <c r="BC35" s="16">
        <f t="shared" si="96"/>
        <v>0</v>
      </c>
      <c r="BD35" s="17"/>
      <c r="BE35" s="16"/>
      <c r="BF35" s="16"/>
      <c r="BG35" s="17"/>
      <c r="BH35" s="16"/>
      <c r="BI35" s="16">
        <f t="shared" si="98"/>
        <v>0</v>
      </c>
      <c r="BJ35" s="17"/>
      <c r="BK35" s="16"/>
      <c r="BL35" s="16">
        <f t="shared" si="99"/>
        <v>0</v>
      </c>
      <c r="BM35" s="17"/>
      <c r="BN35" s="16"/>
      <c r="BO35" s="16">
        <f t="shared" si="100"/>
        <v>0</v>
      </c>
      <c r="BP35" s="17"/>
      <c r="BQ35" s="18">
        <f t="shared" si="101"/>
        <v>0</v>
      </c>
      <c r="BR35" s="18">
        <f t="shared" si="102"/>
        <v>2</v>
      </c>
      <c r="BS35" s="31"/>
      <c r="BT35" s="31"/>
      <c r="BU35" s="31"/>
      <c r="BV35" s="31"/>
    </row>
    <row r="36" ht="42.75" customHeight="1">
      <c r="A36" s="31"/>
      <c r="B36" s="19"/>
      <c r="C36" s="19"/>
      <c r="D36" s="15" t="s">
        <v>217</v>
      </c>
      <c r="E36" s="15" t="s">
        <v>70</v>
      </c>
      <c r="F36" s="15" t="s">
        <v>80</v>
      </c>
      <c r="G36" s="15" t="s">
        <v>218</v>
      </c>
      <c r="H36" s="15">
        <v>4</v>
      </c>
      <c r="I36" s="16"/>
      <c r="J36" s="16">
        <f t="shared" si="81"/>
        <v>4</v>
      </c>
      <c r="K36" s="17"/>
      <c r="L36" s="16"/>
      <c r="M36" s="16">
        <f t="shared" si="82"/>
        <v>4</v>
      </c>
      <c r="N36" s="17"/>
      <c r="O36" s="16"/>
      <c r="P36" s="16">
        <f t="shared" si="83"/>
        <v>4</v>
      </c>
      <c r="Q36" s="17"/>
      <c r="R36" s="16"/>
      <c r="S36" s="16">
        <f t="shared" si="84"/>
        <v>4</v>
      </c>
      <c r="T36" s="17"/>
      <c r="U36" s="16"/>
      <c r="V36" s="16">
        <f t="shared" si="85"/>
        <v>4</v>
      </c>
      <c r="W36" s="17"/>
      <c r="X36" s="16"/>
      <c r="Y36" s="16">
        <f t="shared" si="86"/>
        <v>4</v>
      </c>
      <c r="Z36" s="17"/>
      <c r="AA36" s="16"/>
      <c r="AB36" s="16">
        <f t="shared" si="87"/>
        <v>4</v>
      </c>
      <c r="AC36" s="17"/>
      <c r="AD36" s="16"/>
      <c r="AE36" s="16">
        <f t="shared" si="88"/>
        <v>4</v>
      </c>
      <c r="AF36" s="17"/>
      <c r="AG36" s="16"/>
      <c r="AH36" s="16">
        <f t="shared" si="89"/>
        <v>4</v>
      </c>
      <c r="AI36" s="17"/>
      <c r="AJ36" s="16"/>
      <c r="AK36" s="16">
        <f t="shared" si="90"/>
        <v>4</v>
      </c>
      <c r="AL36" s="17"/>
      <c r="AM36" s="16"/>
      <c r="AN36" s="16">
        <f t="shared" si="91"/>
        <v>4</v>
      </c>
      <c r="AO36" s="17"/>
      <c r="AP36" s="16"/>
      <c r="AQ36" s="16">
        <f t="shared" si="92"/>
        <v>4</v>
      </c>
      <c r="AR36" s="17"/>
      <c r="AS36" s="16"/>
      <c r="AT36" s="16">
        <f t="shared" si="93"/>
        <v>4</v>
      </c>
      <c r="AU36" s="17"/>
      <c r="AV36" s="16"/>
      <c r="AW36" s="16">
        <f t="shared" si="94"/>
        <v>4</v>
      </c>
      <c r="AX36" s="17"/>
      <c r="AY36" s="16"/>
      <c r="AZ36" s="16"/>
      <c r="BA36" s="17"/>
      <c r="BB36" s="16"/>
      <c r="BC36" s="16">
        <f t="shared" si="96"/>
        <v>0</v>
      </c>
      <c r="BD36" s="17"/>
      <c r="BE36" s="16"/>
      <c r="BF36" s="16"/>
      <c r="BG36" s="17"/>
      <c r="BH36" s="16"/>
      <c r="BI36" s="16">
        <f t="shared" si="98"/>
        <v>0</v>
      </c>
      <c r="BJ36" s="17"/>
      <c r="BK36" s="16"/>
      <c r="BL36" s="16">
        <f t="shared" si="99"/>
        <v>0</v>
      </c>
      <c r="BM36" s="17"/>
      <c r="BN36" s="16"/>
      <c r="BO36" s="16">
        <f t="shared" si="100"/>
        <v>0</v>
      </c>
      <c r="BP36" s="17"/>
      <c r="BQ36" s="18">
        <f t="shared" si="101"/>
        <v>0</v>
      </c>
      <c r="BR36" s="18">
        <f t="shared" si="102"/>
        <v>4</v>
      </c>
      <c r="BS36" s="31"/>
      <c r="BT36" s="31"/>
      <c r="BU36" s="31"/>
      <c r="BV36" s="31"/>
    </row>
    <row r="37" ht="42.75" customHeight="1">
      <c r="A37" s="31"/>
      <c r="B37" s="19"/>
      <c r="C37" s="19"/>
      <c r="D37" s="15" t="s">
        <v>219</v>
      </c>
      <c r="E37" s="15" t="s">
        <v>67</v>
      </c>
      <c r="F37" s="15" t="s">
        <v>80</v>
      </c>
      <c r="G37" s="15" t="s">
        <v>220</v>
      </c>
      <c r="H37" s="15">
        <v>3</v>
      </c>
      <c r="I37" s="16"/>
      <c r="J37" s="16">
        <f t="shared" si="81"/>
        <v>3</v>
      </c>
      <c r="K37" s="17"/>
      <c r="L37" s="16"/>
      <c r="M37" s="16">
        <f t="shared" si="82"/>
        <v>3</v>
      </c>
      <c r="N37" s="17"/>
      <c r="O37" s="16"/>
      <c r="P37" s="16">
        <f t="shared" si="83"/>
        <v>3</v>
      </c>
      <c r="Q37" s="17"/>
      <c r="R37" s="16"/>
      <c r="S37" s="16">
        <f t="shared" si="84"/>
        <v>3</v>
      </c>
      <c r="T37" s="17"/>
      <c r="U37" s="16"/>
      <c r="V37" s="16">
        <f t="shared" si="85"/>
        <v>3</v>
      </c>
      <c r="W37" s="17"/>
      <c r="X37" s="16"/>
      <c r="Y37" s="16">
        <f t="shared" si="86"/>
        <v>3</v>
      </c>
      <c r="Z37" s="17"/>
      <c r="AA37" s="16"/>
      <c r="AB37" s="16">
        <f t="shared" si="87"/>
        <v>3</v>
      </c>
      <c r="AC37" s="17"/>
      <c r="AD37" s="16"/>
      <c r="AE37" s="16">
        <f t="shared" si="88"/>
        <v>3</v>
      </c>
      <c r="AF37" s="17"/>
      <c r="AG37" s="16"/>
      <c r="AH37" s="16">
        <f t="shared" si="89"/>
        <v>3</v>
      </c>
      <c r="AI37" s="17"/>
      <c r="AJ37" s="16"/>
      <c r="AK37" s="16">
        <f t="shared" si="90"/>
        <v>3</v>
      </c>
      <c r="AL37" s="17"/>
      <c r="AM37" s="16"/>
      <c r="AN37" s="16">
        <f t="shared" si="91"/>
        <v>3</v>
      </c>
      <c r="AO37" s="17"/>
      <c r="AP37" s="16"/>
      <c r="AQ37" s="16">
        <f t="shared" si="92"/>
        <v>3</v>
      </c>
      <c r="AR37" s="17"/>
      <c r="AS37" s="16"/>
      <c r="AT37" s="16">
        <f t="shared" si="93"/>
        <v>3</v>
      </c>
      <c r="AU37" s="17"/>
      <c r="AV37" s="16"/>
      <c r="AW37" s="16">
        <f t="shared" si="94"/>
        <v>3</v>
      </c>
      <c r="AX37" s="17"/>
      <c r="AY37" s="16"/>
      <c r="AZ37" s="16"/>
      <c r="BA37" s="17"/>
      <c r="BB37" s="16"/>
      <c r="BC37" s="16">
        <f t="shared" si="96"/>
        <v>0</v>
      </c>
      <c r="BD37" s="17"/>
      <c r="BE37" s="16"/>
      <c r="BF37" s="16"/>
      <c r="BG37" s="17"/>
      <c r="BH37" s="16"/>
      <c r="BI37" s="16">
        <f t="shared" si="98"/>
        <v>0</v>
      </c>
      <c r="BJ37" s="17"/>
      <c r="BK37" s="16"/>
      <c r="BL37" s="16">
        <f t="shared" si="99"/>
        <v>0</v>
      </c>
      <c r="BM37" s="17"/>
      <c r="BN37" s="16"/>
      <c r="BO37" s="16">
        <f t="shared" si="100"/>
        <v>0</v>
      </c>
      <c r="BP37" s="17"/>
      <c r="BQ37" s="18">
        <f t="shared" si="101"/>
        <v>0</v>
      </c>
      <c r="BR37" s="18">
        <f t="shared" si="102"/>
        <v>3</v>
      </c>
      <c r="BS37" s="31"/>
      <c r="BT37" s="31"/>
      <c r="BU37" s="31"/>
      <c r="BV37" s="31"/>
    </row>
    <row r="38" ht="42.75" customHeight="1">
      <c r="A38" s="31"/>
      <c r="B38" s="21"/>
      <c r="C38" s="21"/>
      <c r="D38" s="15" t="s">
        <v>221</v>
      </c>
      <c r="E38" s="15" t="s">
        <v>70</v>
      </c>
      <c r="F38" s="15" t="s">
        <v>80</v>
      </c>
      <c r="G38" s="15" t="s">
        <v>222</v>
      </c>
      <c r="H38" s="15">
        <v>3</v>
      </c>
      <c r="I38" s="16"/>
      <c r="J38" s="16">
        <f t="shared" si="81"/>
        <v>3</v>
      </c>
      <c r="K38" s="17"/>
      <c r="L38" s="16"/>
      <c r="M38" s="16">
        <f t="shared" si="82"/>
        <v>3</v>
      </c>
      <c r="N38" s="17"/>
      <c r="O38" s="16"/>
      <c r="P38" s="16">
        <f t="shared" si="83"/>
        <v>3</v>
      </c>
      <c r="Q38" s="17"/>
      <c r="R38" s="16"/>
      <c r="S38" s="16">
        <f t="shared" si="84"/>
        <v>3</v>
      </c>
      <c r="T38" s="17"/>
      <c r="U38" s="16"/>
      <c r="V38" s="16">
        <f t="shared" si="85"/>
        <v>3</v>
      </c>
      <c r="W38" s="17"/>
      <c r="X38" s="16"/>
      <c r="Y38" s="16">
        <f t="shared" si="86"/>
        <v>3</v>
      </c>
      <c r="Z38" s="17"/>
      <c r="AA38" s="16"/>
      <c r="AB38" s="16">
        <f t="shared" si="87"/>
        <v>3</v>
      </c>
      <c r="AC38" s="17"/>
      <c r="AD38" s="16"/>
      <c r="AE38" s="16">
        <f t="shared" si="88"/>
        <v>3</v>
      </c>
      <c r="AF38" s="17"/>
      <c r="AG38" s="16"/>
      <c r="AH38" s="16">
        <f t="shared" si="89"/>
        <v>3</v>
      </c>
      <c r="AI38" s="17"/>
      <c r="AJ38" s="16"/>
      <c r="AK38" s="16">
        <f t="shared" si="90"/>
        <v>3</v>
      </c>
      <c r="AL38" s="17"/>
      <c r="AM38" s="16"/>
      <c r="AN38" s="16">
        <f t="shared" si="91"/>
        <v>3</v>
      </c>
      <c r="AO38" s="17"/>
      <c r="AP38" s="16"/>
      <c r="AQ38" s="16">
        <f t="shared" si="92"/>
        <v>3</v>
      </c>
      <c r="AR38" s="17"/>
      <c r="AS38" s="16"/>
      <c r="AT38" s="16">
        <f t="shared" si="93"/>
        <v>3</v>
      </c>
      <c r="AU38" s="17"/>
      <c r="AV38" s="16"/>
      <c r="AW38" s="16">
        <f t="shared" si="94"/>
        <v>3</v>
      </c>
      <c r="AX38" s="17"/>
      <c r="AY38" s="16"/>
      <c r="AZ38" s="16"/>
      <c r="BA38" s="17"/>
      <c r="BB38" s="16"/>
      <c r="BC38" s="16">
        <f t="shared" si="96"/>
        <v>0</v>
      </c>
      <c r="BD38" s="17"/>
      <c r="BE38" s="16"/>
      <c r="BF38" s="16"/>
      <c r="BG38" s="17"/>
      <c r="BH38" s="16"/>
      <c r="BI38" s="16">
        <f t="shared" si="98"/>
        <v>0</v>
      </c>
      <c r="BJ38" s="17"/>
      <c r="BK38" s="16"/>
      <c r="BL38" s="16">
        <f t="shared" si="99"/>
        <v>0</v>
      </c>
      <c r="BM38" s="17"/>
      <c r="BN38" s="16"/>
      <c r="BO38" s="16">
        <f t="shared" si="100"/>
        <v>0</v>
      </c>
      <c r="BP38" s="17"/>
      <c r="BQ38" s="18">
        <f t="shared" si="101"/>
        <v>0</v>
      </c>
      <c r="BR38" s="18">
        <f t="shared" si="102"/>
        <v>3</v>
      </c>
    </row>
    <row r="39" ht="56.25" customHeight="1">
      <c r="A39" s="38"/>
      <c r="B39" s="12" t="s">
        <v>223</v>
      </c>
      <c r="C39" s="37" t="s">
        <v>224</v>
      </c>
      <c r="D39" s="15" t="s">
        <v>225</v>
      </c>
      <c r="E39" s="15" t="s">
        <v>67</v>
      </c>
      <c r="F39" s="15" t="s">
        <v>80</v>
      </c>
      <c r="G39" s="15" t="s">
        <v>226</v>
      </c>
      <c r="H39" s="15">
        <v>2</v>
      </c>
      <c r="I39" s="16"/>
      <c r="J39" s="16">
        <f t="shared" si="81"/>
        <v>2</v>
      </c>
      <c r="K39" s="17"/>
      <c r="L39" s="16"/>
      <c r="M39" s="16">
        <f t="shared" si="82"/>
        <v>2</v>
      </c>
      <c r="N39" s="17"/>
      <c r="O39" s="16"/>
      <c r="P39" s="16">
        <f t="shared" si="83"/>
        <v>2</v>
      </c>
      <c r="Q39" s="17"/>
      <c r="R39" s="16"/>
      <c r="S39" s="16">
        <f t="shared" si="84"/>
        <v>2</v>
      </c>
      <c r="T39" s="17"/>
      <c r="U39" s="16"/>
      <c r="V39" s="16">
        <f t="shared" si="85"/>
        <v>2</v>
      </c>
      <c r="W39" s="17"/>
      <c r="X39" s="16"/>
      <c r="Y39" s="16">
        <f t="shared" si="86"/>
        <v>2</v>
      </c>
      <c r="Z39" s="17"/>
      <c r="AA39" s="16"/>
      <c r="AB39" s="16">
        <f t="shared" si="87"/>
        <v>2</v>
      </c>
      <c r="AC39" s="17"/>
      <c r="AD39" s="16"/>
      <c r="AE39" s="16">
        <f t="shared" si="88"/>
        <v>2</v>
      </c>
      <c r="AF39" s="17"/>
      <c r="AG39" s="16"/>
      <c r="AH39" s="16">
        <f t="shared" si="89"/>
        <v>2</v>
      </c>
      <c r="AI39" s="17"/>
      <c r="AJ39" s="16"/>
      <c r="AK39" s="16">
        <f t="shared" si="90"/>
        <v>2</v>
      </c>
      <c r="AL39" s="17"/>
      <c r="AM39" s="16"/>
      <c r="AN39" s="16">
        <f t="shared" si="91"/>
        <v>2</v>
      </c>
      <c r="AO39" s="17"/>
      <c r="AP39" s="16"/>
      <c r="AQ39" s="16">
        <f t="shared" si="92"/>
        <v>2</v>
      </c>
      <c r="AR39" s="17"/>
      <c r="AS39" s="16"/>
      <c r="AT39" s="16">
        <f t="shared" si="93"/>
        <v>2</v>
      </c>
      <c r="AU39" s="17"/>
      <c r="AV39" s="16"/>
      <c r="AW39" s="16">
        <f t="shared" si="94"/>
        <v>2</v>
      </c>
      <c r="AX39" s="17"/>
      <c r="AY39" s="16"/>
      <c r="AZ39" s="16">
        <f t="shared" ref="AZ39:AZ40" si="103">AW39-AY39</f>
        <v>2</v>
      </c>
      <c r="BA39" s="17"/>
      <c r="BB39" s="16"/>
      <c r="BC39" s="16">
        <f t="shared" si="96"/>
        <v>2</v>
      </c>
      <c r="BD39" s="17"/>
      <c r="BE39" s="16"/>
      <c r="BF39" s="16">
        <f t="shared" ref="BF39:BF40" si="104">BC39-BE39</f>
        <v>2</v>
      </c>
      <c r="BG39" s="17"/>
      <c r="BH39" s="16"/>
      <c r="BI39" s="16">
        <f t="shared" si="98"/>
        <v>2</v>
      </c>
      <c r="BJ39" s="17"/>
      <c r="BK39" s="16"/>
      <c r="BL39" s="16">
        <f t="shared" si="99"/>
        <v>2</v>
      </c>
      <c r="BM39" s="17"/>
      <c r="BN39" s="16"/>
      <c r="BO39" s="16">
        <f t="shared" si="100"/>
        <v>2</v>
      </c>
      <c r="BP39" s="17"/>
      <c r="BQ39" s="18">
        <f t="shared" si="101"/>
        <v>0</v>
      </c>
      <c r="BR39" s="18">
        <f t="shared" si="102"/>
        <v>2</v>
      </c>
    </row>
    <row r="40" ht="47.25" customHeight="1">
      <c r="A40" s="38"/>
      <c r="B40" s="21"/>
      <c r="C40" s="21"/>
      <c r="D40" s="39" t="s">
        <v>227</v>
      </c>
      <c r="E40" s="15" t="s">
        <v>70</v>
      </c>
      <c r="F40" s="15" t="s">
        <v>80</v>
      </c>
      <c r="G40" s="15" t="s">
        <v>228</v>
      </c>
      <c r="H40" s="15">
        <v>1</v>
      </c>
      <c r="I40" s="16"/>
      <c r="J40" s="16">
        <f t="shared" si="81"/>
        <v>1</v>
      </c>
      <c r="K40" s="17"/>
      <c r="L40" s="16"/>
      <c r="M40" s="16">
        <f t="shared" si="82"/>
        <v>1</v>
      </c>
      <c r="N40" s="17"/>
      <c r="O40" s="16"/>
      <c r="P40" s="16">
        <f t="shared" si="83"/>
        <v>1</v>
      </c>
      <c r="Q40" s="17"/>
      <c r="R40" s="16"/>
      <c r="S40" s="16">
        <f t="shared" si="84"/>
        <v>1</v>
      </c>
      <c r="T40" s="17"/>
      <c r="U40" s="16"/>
      <c r="V40" s="16">
        <f t="shared" si="85"/>
        <v>1</v>
      </c>
      <c r="W40" s="17"/>
      <c r="X40" s="16"/>
      <c r="Y40" s="16">
        <f t="shared" si="86"/>
        <v>1</v>
      </c>
      <c r="Z40" s="17"/>
      <c r="AA40" s="16"/>
      <c r="AB40" s="16">
        <f t="shared" si="87"/>
        <v>1</v>
      </c>
      <c r="AC40" s="17"/>
      <c r="AD40" s="16"/>
      <c r="AE40" s="16">
        <f t="shared" si="88"/>
        <v>1</v>
      </c>
      <c r="AF40" s="17"/>
      <c r="AG40" s="16"/>
      <c r="AH40" s="16">
        <f t="shared" si="89"/>
        <v>1</v>
      </c>
      <c r="AI40" s="17"/>
      <c r="AJ40" s="16"/>
      <c r="AK40" s="16">
        <f t="shared" si="90"/>
        <v>1</v>
      </c>
      <c r="AL40" s="17"/>
      <c r="AM40" s="16"/>
      <c r="AN40" s="16">
        <f t="shared" si="91"/>
        <v>1</v>
      </c>
      <c r="AO40" s="17"/>
      <c r="AP40" s="16"/>
      <c r="AQ40" s="16">
        <f t="shared" si="92"/>
        <v>1</v>
      </c>
      <c r="AR40" s="17"/>
      <c r="AS40" s="16"/>
      <c r="AT40" s="16">
        <f t="shared" si="93"/>
        <v>1</v>
      </c>
      <c r="AU40" s="17"/>
      <c r="AV40" s="16"/>
      <c r="AW40" s="16">
        <f t="shared" si="94"/>
        <v>1</v>
      </c>
      <c r="AX40" s="17"/>
      <c r="AY40" s="16"/>
      <c r="AZ40" s="16">
        <f t="shared" si="103"/>
        <v>1</v>
      </c>
      <c r="BA40" s="17"/>
      <c r="BB40" s="16"/>
      <c r="BC40" s="16">
        <f t="shared" si="96"/>
        <v>1</v>
      </c>
      <c r="BD40" s="17"/>
      <c r="BE40" s="16"/>
      <c r="BF40" s="16">
        <f t="shared" si="104"/>
        <v>1</v>
      </c>
      <c r="BG40" s="17"/>
      <c r="BH40" s="16"/>
      <c r="BI40" s="16">
        <f t="shared" si="98"/>
        <v>1</v>
      </c>
      <c r="BJ40" s="17"/>
      <c r="BK40" s="16"/>
      <c r="BL40" s="16">
        <f t="shared" si="99"/>
        <v>1</v>
      </c>
      <c r="BM40" s="17"/>
      <c r="BN40" s="16"/>
      <c r="BO40" s="16">
        <f t="shared" si="100"/>
        <v>1</v>
      </c>
      <c r="BP40" s="17"/>
      <c r="BQ40" s="18">
        <f t="shared" si="101"/>
        <v>0</v>
      </c>
      <c r="BR40" s="18">
        <f t="shared" si="102"/>
        <v>1</v>
      </c>
    </row>
    <row r="41" ht="79.5" customHeight="1">
      <c r="A41" s="31"/>
    </row>
    <row r="42" ht="79.5" customHeight="1">
      <c r="A42" s="31"/>
    </row>
    <row r="43" ht="47.25" customHeight="1">
      <c r="A43" s="31"/>
    </row>
    <row r="44" ht="47.25" customHeight="1">
      <c r="A44" s="31"/>
    </row>
    <row r="45" ht="47.25" customHeight="1">
      <c r="A45" s="31"/>
    </row>
    <row r="46" ht="47.25" customHeight="1">
      <c r="A46" s="31"/>
    </row>
    <row r="47" ht="47.25" customHeight="1">
      <c r="A47" s="31"/>
    </row>
    <row r="48">
      <c r="A48" s="31"/>
      <c r="B48" s="35"/>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c r="BO188" s="31"/>
      <c r="BP188" s="31"/>
      <c r="BQ188" s="31"/>
      <c r="BR188" s="31"/>
      <c r="BS188" s="31"/>
      <c r="BT188" s="31"/>
      <c r="BU188" s="31"/>
      <c r="BV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c r="BR192" s="31"/>
      <c r="BS192" s="31"/>
      <c r="BT192" s="31"/>
      <c r="BU192" s="31"/>
      <c r="BV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c r="BV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c r="BO200" s="31"/>
      <c r="BP200" s="31"/>
      <c r="BQ200" s="31"/>
      <c r="BR200" s="31"/>
      <c r="BS200" s="31"/>
      <c r="BT200" s="31"/>
      <c r="BU200" s="31"/>
      <c r="BV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c r="BO202" s="31"/>
      <c r="BP202" s="31"/>
      <c r="BQ202" s="31"/>
      <c r="BR202" s="31"/>
      <c r="BS202" s="31"/>
      <c r="BT202" s="31"/>
      <c r="BU202" s="31"/>
      <c r="BV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c r="BO204" s="31"/>
      <c r="BP204" s="31"/>
      <c r="BQ204" s="31"/>
      <c r="BR204" s="31"/>
      <c r="BS204" s="31"/>
      <c r="BT204" s="31"/>
      <c r="BU204" s="31"/>
      <c r="BV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c r="BO205" s="31"/>
      <c r="BP205" s="31"/>
      <c r="BQ205" s="31"/>
      <c r="BR205" s="31"/>
      <c r="BS205" s="31"/>
      <c r="BT205" s="31"/>
      <c r="BU205" s="31"/>
      <c r="BV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c r="BO206" s="31"/>
      <c r="BP206" s="31"/>
      <c r="BQ206" s="31"/>
      <c r="BR206" s="31"/>
      <c r="BS206" s="31"/>
      <c r="BT206" s="31"/>
      <c r="BU206" s="31"/>
      <c r="BV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c r="BR207" s="31"/>
      <c r="BS207" s="31"/>
      <c r="BT207" s="31"/>
      <c r="BU207" s="31"/>
      <c r="BV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c r="BR208" s="31"/>
      <c r="BS208" s="31"/>
      <c r="BT208" s="31"/>
      <c r="BU208" s="31"/>
      <c r="BV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c r="BO210" s="31"/>
      <c r="BP210" s="31"/>
      <c r="BQ210" s="31"/>
      <c r="BR210" s="31"/>
      <c r="BS210" s="31"/>
      <c r="BT210" s="31"/>
      <c r="BU210" s="31"/>
      <c r="BV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1"/>
      <c r="BL360" s="31"/>
      <c r="BM360" s="31"/>
      <c r="BN360" s="31"/>
      <c r="BO360" s="31"/>
      <c r="BP360" s="31"/>
      <c r="BQ360" s="31"/>
      <c r="BR360" s="31"/>
      <c r="BS360" s="31"/>
      <c r="BT360" s="31"/>
      <c r="BU360" s="31"/>
      <c r="BV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1"/>
      <c r="BL361" s="31"/>
      <c r="BM361" s="31"/>
      <c r="BN361" s="31"/>
      <c r="BO361" s="31"/>
      <c r="BP361" s="31"/>
      <c r="BQ361" s="31"/>
      <c r="BR361" s="31"/>
      <c r="BS361" s="31"/>
      <c r="BT361" s="31"/>
      <c r="BU361" s="31"/>
      <c r="BV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1"/>
      <c r="BL362" s="31"/>
      <c r="BM362" s="31"/>
      <c r="BN362" s="31"/>
      <c r="BO362" s="31"/>
      <c r="BP362" s="31"/>
      <c r="BQ362" s="31"/>
      <c r="BR362" s="31"/>
      <c r="BS362" s="31"/>
      <c r="BT362" s="31"/>
      <c r="BU362" s="31"/>
      <c r="BV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1"/>
      <c r="BL363" s="31"/>
      <c r="BM363" s="31"/>
      <c r="BN363" s="31"/>
      <c r="BO363" s="31"/>
      <c r="BP363" s="31"/>
      <c r="BQ363" s="31"/>
      <c r="BR363" s="31"/>
      <c r="BS363" s="31"/>
      <c r="BT363" s="31"/>
      <c r="BU363" s="31"/>
      <c r="BV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1"/>
      <c r="BL364" s="31"/>
      <c r="BM364" s="31"/>
      <c r="BN364" s="31"/>
      <c r="BO364" s="31"/>
      <c r="BP364" s="31"/>
      <c r="BQ364" s="31"/>
      <c r="BR364" s="31"/>
      <c r="BS364" s="31"/>
      <c r="BT364" s="31"/>
      <c r="BU364" s="31"/>
      <c r="BV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c r="BO365" s="31"/>
      <c r="BP365" s="31"/>
      <c r="BQ365" s="31"/>
      <c r="BR365" s="31"/>
      <c r="BS365" s="31"/>
      <c r="BT365" s="31"/>
      <c r="BU365" s="31"/>
      <c r="BV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1"/>
      <c r="BL366" s="31"/>
      <c r="BM366" s="31"/>
      <c r="BN366" s="31"/>
      <c r="BO366" s="31"/>
      <c r="BP366" s="31"/>
      <c r="BQ366" s="31"/>
      <c r="BR366" s="31"/>
      <c r="BS366" s="31"/>
      <c r="BT366" s="31"/>
      <c r="BU366" s="31"/>
      <c r="BV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c r="BO367" s="31"/>
      <c r="BP367" s="31"/>
      <c r="BQ367" s="31"/>
      <c r="BR367" s="31"/>
      <c r="BS367" s="31"/>
      <c r="BT367" s="31"/>
      <c r="BU367" s="31"/>
      <c r="BV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1"/>
      <c r="BL368" s="31"/>
      <c r="BM368" s="31"/>
      <c r="BN368" s="31"/>
      <c r="BO368" s="31"/>
      <c r="BP368" s="31"/>
      <c r="BQ368" s="31"/>
      <c r="BR368" s="31"/>
      <c r="BS368" s="31"/>
      <c r="BT368" s="31"/>
      <c r="BU368" s="31"/>
      <c r="BV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1"/>
      <c r="BL369" s="31"/>
      <c r="BM369" s="31"/>
      <c r="BN369" s="31"/>
      <c r="BO369" s="31"/>
      <c r="BP369" s="31"/>
      <c r="BQ369" s="31"/>
      <c r="BR369" s="31"/>
      <c r="BS369" s="31"/>
      <c r="BT369" s="31"/>
      <c r="BU369" s="31"/>
      <c r="BV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1"/>
      <c r="BL370" s="31"/>
      <c r="BM370" s="31"/>
      <c r="BN370" s="31"/>
      <c r="BO370" s="31"/>
      <c r="BP370" s="31"/>
      <c r="BQ370" s="31"/>
      <c r="BR370" s="31"/>
      <c r="BS370" s="31"/>
      <c r="BT370" s="31"/>
      <c r="BU370" s="31"/>
      <c r="BV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1"/>
      <c r="BL371" s="31"/>
      <c r="BM371" s="31"/>
      <c r="BN371" s="31"/>
      <c r="BO371" s="31"/>
      <c r="BP371" s="31"/>
      <c r="BQ371" s="31"/>
      <c r="BR371" s="31"/>
      <c r="BS371" s="31"/>
      <c r="BT371" s="31"/>
      <c r="BU371" s="31"/>
      <c r="BV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1"/>
      <c r="BL372" s="31"/>
      <c r="BM372" s="31"/>
      <c r="BN372" s="31"/>
      <c r="BO372" s="31"/>
      <c r="BP372" s="31"/>
      <c r="BQ372" s="31"/>
      <c r="BR372" s="31"/>
      <c r="BS372" s="31"/>
      <c r="BT372" s="31"/>
      <c r="BU372" s="31"/>
      <c r="BV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1"/>
      <c r="BL373" s="31"/>
      <c r="BM373" s="31"/>
      <c r="BN373" s="31"/>
      <c r="BO373" s="31"/>
      <c r="BP373" s="31"/>
      <c r="BQ373" s="31"/>
      <c r="BR373" s="31"/>
      <c r="BS373" s="31"/>
      <c r="BT373" s="31"/>
      <c r="BU373" s="31"/>
      <c r="BV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1"/>
      <c r="BL374" s="31"/>
      <c r="BM374" s="31"/>
      <c r="BN374" s="31"/>
      <c r="BO374" s="31"/>
      <c r="BP374" s="31"/>
      <c r="BQ374" s="31"/>
      <c r="BR374" s="31"/>
      <c r="BS374" s="31"/>
      <c r="BT374" s="31"/>
      <c r="BU374" s="31"/>
      <c r="BV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1"/>
      <c r="BL375" s="31"/>
      <c r="BM375" s="31"/>
      <c r="BN375" s="31"/>
      <c r="BO375" s="31"/>
      <c r="BP375" s="31"/>
      <c r="BQ375" s="31"/>
      <c r="BR375" s="31"/>
      <c r="BS375" s="31"/>
      <c r="BT375" s="31"/>
      <c r="BU375" s="31"/>
      <c r="BV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1"/>
      <c r="BL376" s="31"/>
      <c r="BM376" s="31"/>
      <c r="BN376" s="31"/>
      <c r="BO376" s="31"/>
      <c r="BP376" s="31"/>
      <c r="BQ376" s="31"/>
      <c r="BR376" s="31"/>
      <c r="BS376" s="31"/>
      <c r="BT376" s="31"/>
      <c r="BU376" s="31"/>
      <c r="BV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1"/>
      <c r="BL377" s="31"/>
      <c r="BM377" s="31"/>
      <c r="BN377" s="31"/>
      <c r="BO377" s="31"/>
      <c r="BP377" s="31"/>
      <c r="BQ377" s="31"/>
      <c r="BR377" s="31"/>
      <c r="BS377" s="31"/>
      <c r="BT377" s="31"/>
      <c r="BU377" s="31"/>
      <c r="BV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1"/>
      <c r="BL378" s="31"/>
      <c r="BM378" s="31"/>
      <c r="BN378" s="31"/>
      <c r="BO378" s="31"/>
      <c r="BP378" s="31"/>
      <c r="BQ378" s="31"/>
      <c r="BR378" s="31"/>
      <c r="BS378" s="31"/>
      <c r="BT378" s="31"/>
      <c r="BU378" s="31"/>
      <c r="BV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1"/>
      <c r="BL379" s="31"/>
      <c r="BM379" s="31"/>
      <c r="BN379" s="31"/>
      <c r="BO379" s="31"/>
      <c r="BP379" s="31"/>
      <c r="BQ379" s="31"/>
      <c r="BR379" s="31"/>
      <c r="BS379" s="31"/>
      <c r="BT379" s="31"/>
      <c r="BU379" s="31"/>
      <c r="BV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1"/>
      <c r="BL380" s="31"/>
      <c r="BM380" s="31"/>
      <c r="BN380" s="31"/>
      <c r="BO380" s="31"/>
      <c r="BP380" s="31"/>
      <c r="BQ380" s="31"/>
      <c r="BR380" s="31"/>
      <c r="BS380" s="31"/>
      <c r="BT380" s="31"/>
      <c r="BU380" s="31"/>
      <c r="BV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1"/>
      <c r="BL381" s="31"/>
      <c r="BM381" s="31"/>
      <c r="BN381" s="31"/>
      <c r="BO381" s="31"/>
      <c r="BP381" s="31"/>
      <c r="BQ381" s="31"/>
      <c r="BR381" s="31"/>
      <c r="BS381" s="31"/>
      <c r="BT381" s="31"/>
      <c r="BU381" s="31"/>
      <c r="BV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1"/>
      <c r="BL396" s="31"/>
      <c r="BM396" s="31"/>
      <c r="BN396" s="31"/>
      <c r="BO396" s="31"/>
      <c r="BP396" s="31"/>
      <c r="BQ396" s="31"/>
      <c r="BR396" s="31"/>
      <c r="BS396" s="31"/>
      <c r="BT396" s="31"/>
      <c r="BU396" s="31"/>
      <c r="BV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1"/>
      <c r="BL397" s="31"/>
      <c r="BM397" s="31"/>
      <c r="BN397" s="31"/>
      <c r="BO397" s="31"/>
      <c r="BP397" s="31"/>
      <c r="BQ397" s="31"/>
      <c r="BR397" s="31"/>
      <c r="BS397" s="31"/>
      <c r="BT397" s="31"/>
      <c r="BU397" s="31"/>
      <c r="BV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1"/>
      <c r="BL398" s="31"/>
      <c r="BM398" s="31"/>
      <c r="BN398" s="31"/>
      <c r="BO398" s="31"/>
      <c r="BP398" s="31"/>
      <c r="BQ398" s="31"/>
      <c r="BR398" s="31"/>
      <c r="BS398" s="31"/>
      <c r="BT398" s="31"/>
      <c r="BU398" s="31"/>
      <c r="BV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1"/>
      <c r="BL399" s="31"/>
      <c r="BM399" s="31"/>
      <c r="BN399" s="31"/>
      <c r="BO399" s="31"/>
      <c r="BP399" s="31"/>
      <c r="BQ399" s="31"/>
      <c r="BR399" s="31"/>
      <c r="BS399" s="31"/>
      <c r="BT399" s="31"/>
      <c r="BU399" s="31"/>
      <c r="BV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1"/>
      <c r="BL400" s="31"/>
      <c r="BM400" s="31"/>
      <c r="BN400" s="31"/>
      <c r="BO400" s="31"/>
      <c r="BP400" s="31"/>
      <c r="BQ400" s="31"/>
      <c r="BR400" s="31"/>
      <c r="BS400" s="31"/>
      <c r="BT400" s="31"/>
      <c r="BU400" s="31"/>
      <c r="BV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31"/>
      <c r="BJ401" s="31"/>
      <c r="BK401" s="31"/>
      <c r="BL401" s="31"/>
      <c r="BM401" s="31"/>
      <c r="BN401" s="31"/>
      <c r="BO401" s="31"/>
      <c r="BP401" s="31"/>
      <c r="BQ401" s="31"/>
      <c r="BR401" s="31"/>
      <c r="BS401" s="31"/>
      <c r="BT401" s="31"/>
      <c r="BU401" s="31"/>
      <c r="BV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31"/>
      <c r="BJ402" s="31"/>
      <c r="BK402" s="31"/>
      <c r="BL402" s="31"/>
      <c r="BM402" s="31"/>
      <c r="BN402" s="31"/>
      <c r="BO402" s="31"/>
      <c r="BP402" s="31"/>
      <c r="BQ402" s="31"/>
      <c r="BR402" s="31"/>
      <c r="BS402" s="31"/>
      <c r="BT402" s="31"/>
      <c r="BU402" s="31"/>
      <c r="BV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31"/>
      <c r="BJ403" s="31"/>
      <c r="BK403" s="31"/>
      <c r="BL403" s="31"/>
      <c r="BM403" s="31"/>
      <c r="BN403" s="31"/>
      <c r="BO403" s="31"/>
      <c r="BP403" s="31"/>
      <c r="BQ403" s="31"/>
      <c r="BR403" s="31"/>
      <c r="BS403" s="31"/>
      <c r="BT403" s="31"/>
      <c r="BU403" s="31"/>
      <c r="BV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31"/>
      <c r="BJ404" s="31"/>
      <c r="BK404" s="31"/>
      <c r="BL404" s="31"/>
      <c r="BM404" s="31"/>
      <c r="BN404" s="31"/>
      <c r="BO404" s="31"/>
      <c r="BP404" s="31"/>
      <c r="BQ404" s="31"/>
      <c r="BR404" s="31"/>
      <c r="BS404" s="31"/>
      <c r="BT404" s="31"/>
      <c r="BU404" s="31"/>
      <c r="BV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31"/>
      <c r="BJ405" s="31"/>
      <c r="BK405" s="31"/>
      <c r="BL405" s="31"/>
      <c r="BM405" s="31"/>
      <c r="BN405" s="31"/>
      <c r="BO405" s="31"/>
      <c r="BP405" s="31"/>
      <c r="BQ405" s="31"/>
      <c r="BR405" s="31"/>
      <c r="BS405" s="31"/>
      <c r="BT405" s="31"/>
      <c r="BU405" s="31"/>
      <c r="BV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31"/>
      <c r="BJ406" s="31"/>
      <c r="BK406" s="31"/>
      <c r="BL406" s="31"/>
      <c r="BM406" s="31"/>
      <c r="BN406" s="31"/>
      <c r="BO406" s="31"/>
      <c r="BP406" s="31"/>
      <c r="BQ406" s="31"/>
      <c r="BR406" s="31"/>
      <c r="BS406" s="31"/>
      <c r="BT406" s="31"/>
      <c r="BU406" s="31"/>
      <c r="BV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31"/>
      <c r="BJ407" s="31"/>
      <c r="BK407" s="31"/>
      <c r="BL407" s="31"/>
      <c r="BM407" s="31"/>
      <c r="BN407" s="31"/>
      <c r="BO407" s="31"/>
      <c r="BP407" s="31"/>
      <c r="BQ407" s="31"/>
      <c r="BR407" s="31"/>
      <c r="BS407" s="31"/>
      <c r="BT407" s="31"/>
      <c r="BU407" s="31"/>
      <c r="BV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31"/>
      <c r="BJ408" s="31"/>
      <c r="BK408" s="31"/>
      <c r="BL408" s="31"/>
      <c r="BM408" s="31"/>
      <c r="BN408" s="31"/>
      <c r="BO408" s="31"/>
      <c r="BP408" s="31"/>
      <c r="BQ408" s="31"/>
      <c r="BR408" s="31"/>
      <c r="BS408" s="31"/>
      <c r="BT408" s="31"/>
      <c r="BU408" s="31"/>
      <c r="BV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31"/>
      <c r="BJ409" s="31"/>
      <c r="BK409" s="31"/>
      <c r="BL409" s="31"/>
      <c r="BM409" s="31"/>
      <c r="BN409" s="31"/>
      <c r="BO409" s="31"/>
      <c r="BP409" s="31"/>
      <c r="BQ409" s="31"/>
      <c r="BR409" s="31"/>
      <c r="BS409" s="31"/>
      <c r="BT409" s="31"/>
      <c r="BU409" s="31"/>
      <c r="BV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31"/>
      <c r="BJ410" s="31"/>
      <c r="BK410" s="31"/>
      <c r="BL410" s="31"/>
      <c r="BM410" s="31"/>
      <c r="BN410" s="31"/>
      <c r="BO410" s="31"/>
      <c r="BP410" s="31"/>
      <c r="BQ410" s="31"/>
      <c r="BR410" s="31"/>
      <c r="BS410" s="31"/>
      <c r="BT410" s="31"/>
      <c r="BU410" s="31"/>
      <c r="BV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c r="BS411" s="31"/>
      <c r="BT411" s="31"/>
      <c r="BU411" s="31"/>
      <c r="BV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c r="BS412" s="31"/>
      <c r="BT412" s="31"/>
      <c r="BU412" s="31"/>
      <c r="BV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c r="BO414" s="31"/>
      <c r="BP414" s="31"/>
      <c r="BQ414" s="31"/>
      <c r="BR414" s="31"/>
      <c r="BS414" s="31"/>
      <c r="BT414" s="31"/>
      <c r="BU414" s="31"/>
      <c r="BV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31"/>
      <c r="BJ415" s="31"/>
      <c r="BK415" s="31"/>
      <c r="BL415" s="31"/>
      <c r="BM415" s="31"/>
      <c r="BN415" s="31"/>
      <c r="BO415" s="31"/>
      <c r="BP415" s="31"/>
      <c r="BQ415" s="31"/>
      <c r="BR415" s="31"/>
      <c r="BS415" s="31"/>
      <c r="BT415" s="31"/>
      <c r="BU415" s="31"/>
      <c r="BV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31"/>
      <c r="BJ416" s="31"/>
      <c r="BK416" s="31"/>
      <c r="BL416" s="31"/>
      <c r="BM416" s="31"/>
      <c r="BN416" s="31"/>
      <c r="BO416" s="31"/>
      <c r="BP416" s="31"/>
      <c r="BQ416" s="31"/>
      <c r="BR416" s="31"/>
      <c r="BS416" s="31"/>
      <c r="BT416" s="31"/>
      <c r="BU416" s="31"/>
      <c r="BV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c r="BO417" s="31"/>
      <c r="BP417" s="31"/>
      <c r="BQ417" s="31"/>
      <c r="BR417" s="31"/>
      <c r="BS417" s="31"/>
      <c r="BT417" s="31"/>
      <c r="BU417" s="31"/>
      <c r="BV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31"/>
      <c r="BJ418" s="31"/>
      <c r="BK418" s="31"/>
      <c r="BL418" s="31"/>
      <c r="BM418" s="31"/>
      <c r="BN418" s="31"/>
      <c r="BO418" s="31"/>
      <c r="BP418" s="31"/>
      <c r="BQ418" s="31"/>
      <c r="BR418" s="31"/>
      <c r="BS418" s="31"/>
      <c r="BT418" s="31"/>
      <c r="BU418" s="31"/>
      <c r="BV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c r="BO419" s="31"/>
      <c r="BP419" s="31"/>
      <c r="BQ419" s="31"/>
      <c r="BR419" s="31"/>
      <c r="BS419" s="31"/>
      <c r="BT419" s="31"/>
      <c r="BU419" s="31"/>
      <c r="BV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31"/>
      <c r="BJ420" s="31"/>
      <c r="BK420" s="31"/>
      <c r="BL420" s="31"/>
      <c r="BM420" s="31"/>
      <c r="BN420" s="31"/>
      <c r="BO420" s="31"/>
      <c r="BP420" s="31"/>
      <c r="BQ420" s="31"/>
      <c r="BR420" s="31"/>
      <c r="BS420" s="31"/>
      <c r="BT420" s="31"/>
      <c r="BU420" s="31"/>
      <c r="BV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31"/>
      <c r="BJ421" s="31"/>
      <c r="BK421" s="31"/>
      <c r="BL421" s="31"/>
      <c r="BM421" s="31"/>
      <c r="BN421" s="31"/>
      <c r="BO421" s="31"/>
      <c r="BP421" s="31"/>
      <c r="BQ421" s="31"/>
      <c r="BR421" s="31"/>
      <c r="BS421" s="31"/>
      <c r="BT421" s="31"/>
      <c r="BU421" s="31"/>
      <c r="BV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31"/>
      <c r="BJ422" s="31"/>
      <c r="BK422" s="31"/>
      <c r="BL422" s="31"/>
      <c r="BM422" s="31"/>
      <c r="BN422" s="31"/>
      <c r="BO422" s="31"/>
      <c r="BP422" s="31"/>
      <c r="BQ422" s="31"/>
      <c r="BR422" s="31"/>
      <c r="BS422" s="31"/>
      <c r="BT422" s="31"/>
      <c r="BU422" s="31"/>
      <c r="BV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c r="BS423" s="31"/>
      <c r="BT423" s="31"/>
      <c r="BU423" s="31"/>
      <c r="BV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1"/>
      <c r="BL424" s="31"/>
      <c r="BM424" s="31"/>
      <c r="BN424" s="31"/>
      <c r="BO424" s="31"/>
      <c r="BP424" s="31"/>
      <c r="BQ424" s="31"/>
      <c r="BR424" s="31"/>
      <c r="BS424" s="31"/>
      <c r="BT424" s="31"/>
      <c r="BU424" s="31"/>
      <c r="BV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c r="BO425" s="31"/>
      <c r="BP425" s="31"/>
      <c r="BQ425" s="31"/>
      <c r="BR425" s="31"/>
      <c r="BS425" s="31"/>
      <c r="BT425" s="31"/>
      <c r="BU425" s="31"/>
      <c r="BV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31"/>
      <c r="BJ426" s="31"/>
      <c r="BK426" s="31"/>
      <c r="BL426" s="31"/>
      <c r="BM426" s="31"/>
      <c r="BN426" s="31"/>
      <c r="BO426" s="31"/>
      <c r="BP426" s="31"/>
      <c r="BQ426" s="31"/>
      <c r="BR426" s="31"/>
      <c r="BS426" s="31"/>
      <c r="BT426" s="31"/>
      <c r="BU426" s="31"/>
      <c r="BV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31"/>
      <c r="BJ428" s="31"/>
      <c r="BK428" s="31"/>
      <c r="BL428" s="31"/>
      <c r="BM428" s="31"/>
      <c r="BN428" s="31"/>
      <c r="BO428" s="31"/>
      <c r="BP428" s="31"/>
      <c r="BQ428" s="31"/>
      <c r="BR428" s="31"/>
      <c r="BS428" s="31"/>
      <c r="BT428" s="31"/>
      <c r="BU428" s="31"/>
      <c r="BV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31"/>
      <c r="BJ429" s="31"/>
      <c r="BK429" s="31"/>
      <c r="BL429" s="31"/>
      <c r="BM429" s="31"/>
      <c r="BN429" s="31"/>
      <c r="BO429" s="31"/>
      <c r="BP429" s="31"/>
      <c r="BQ429" s="31"/>
      <c r="BR429" s="31"/>
      <c r="BS429" s="31"/>
      <c r="BT429" s="31"/>
      <c r="BU429" s="31"/>
      <c r="BV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31"/>
      <c r="BJ430" s="31"/>
      <c r="BK430" s="31"/>
      <c r="BL430" s="31"/>
      <c r="BM430" s="31"/>
      <c r="BN430" s="31"/>
      <c r="BO430" s="31"/>
      <c r="BP430" s="31"/>
      <c r="BQ430" s="31"/>
      <c r="BR430" s="31"/>
      <c r="BS430" s="31"/>
      <c r="BT430" s="31"/>
      <c r="BU430" s="31"/>
      <c r="BV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31"/>
      <c r="BJ431" s="31"/>
      <c r="BK431" s="31"/>
      <c r="BL431" s="31"/>
      <c r="BM431" s="31"/>
      <c r="BN431" s="31"/>
      <c r="BO431" s="31"/>
      <c r="BP431" s="31"/>
      <c r="BQ431" s="31"/>
      <c r="BR431" s="31"/>
      <c r="BS431" s="31"/>
      <c r="BT431" s="31"/>
      <c r="BU431" s="31"/>
      <c r="BV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31"/>
      <c r="BJ432" s="31"/>
      <c r="BK432" s="31"/>
      <c r="BL432" s="31"/>
      <c r="BM432" s="31"/>
      <c r="BN432" s="31"/>
      <c r="BO432" s="31"/>
      <c r="BP432" s="31"/>
      <c r="BQ432" s="31"/>
      <c r="BR432" s="31"/>
      <c r="BS432" s="31"/>
      <c r="BT432" s="31"/>
      <c r="BU432" s="31"/>
      <c r="BV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31"/>
      <c r="BJ433" s="31"/>
      <c r="BK433" s="31"/>
      <c r="BL433" s="31"/>
      <c r="BM433" s="31"/>
      <c r="BN433" s="31"/>
      <c r="BO433" s="31"/>
      <c r="BP433" s="31"/>
      <c r="BQ433" s="31"/>
      <c r="BR433" s="31"/>
      <c r="BS433" s="31"/>
      <c r="BT433" s="31"/>
      <c r="BU433" s="31"/>
      <c r="BV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31"/>
      <c r="BJ434" s="31"/>
      <c r="BK434" s="31"/>
      <c r="BL434" s="31"/>
      <c r="BM434" s="31"/>
      <c r="BN434" s="31"/>
      <c r="BO434" s="31"/>
      <c r="BP434" s="31"/>
      <c r="BQ434" s="31"/>
      <c r="BR434" s="31"/>
      <c r="BS434" s="31"/>
      <c r="BT434" s="31"/>
      <c r="BU434" s="31"/>
      <c r="BV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31"/>
      <c r="BJ435" s="31"/>
      <c r="BK435" s="31"/>
      <c r="BL435" s="31"/>
      <c r="BM435" s="31"/>
      <c r="BN435" s="31"/>
      <c r="BO435" s="31"/>
      <c r="BP435" s="31"/>
      <c r="BQ435" s="31"/>
      <c r="BR435" s="31"/>
      <c r="BS435" s="31"/>
      <c r="BT435" s="31"/>
      <c r="BU435" s="31"/>
      <c r="BV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31"/>
      <c r="BJ436" s="31"/>
      <c r="BK436" s="31"/>
      <c r="BL436" s="31"/>
      <c r="BM436" s="31"/>
      <c r="BN436" s="31"/>
      <c r="BO436" s="31"/>
      <c r="BP436" s="31"/>
      <c r="BQ436" s="31"/>
      <c r="BR436" s="31"/>
      <c r="BS436" s="31"/>
      <c r="BT436" s="31"/>
      <c r="BU436" s="31"/>
      <c r="BV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31"/>
      <c r="BJ437" s="31"/>
      <c r="BK437" s="31"/>
      <c r="BL437" s="31"/>
      <c r="BM437" s="31"/>
      <c r="BN437" s="31"/>
      <c r="BO437" s="31"/>
      <c r="BP437" s="31"/>
      <c r="BQ437" s="31"/>
      <c r="BR437" s="31"/>
      <c r="BS437" s="31"/>
      <c r="BT437" s="31"/>
      <c r="BU437" s="31"/>
      <c r="BV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c r="BI438" s="31"/>
      <c r="BJ438" s="31"/>
      <c r="BK438" s="31"/>
      <c r="BL438" s="31"/>
      <c r="BM438" s="31"/>
      <c r="BN438" s="31"/>
      <c r="BO438" s="31"/>
      <c r="BP438" s="31"/>
      <c r="BQ438" s="31"/>
      <c r="BR438" s="31"/>
      <c r="BS438" s="31"/>
      <c r="BT438" s="31"/>
      <c r="BU438" s="31"/>
      <c r="BV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c r="BO439" s="31"/>
      <c r="BP439" s="31"/>
      <c r="BQ439" s="31"/>
      <c r="BR439" s="31"/>
      <c r="BS439" s="31"/>
      <c r="BT439" s="31"/>
      <c r="BU439" s="31"/>
      <c r="BV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31"/>
      <c r="BJ440" s="31"/>
      <c r="BK440" s="31"/>
      <c r="BL440" s="31"/>
      <c r="BM440" s="31"/>
      <c r="BN440" s="31"/>
      <c r="BO440" s="31"/>
      <c r="BP440" s="31"/>
      <c r="BQ440" s="31"/>
      <c r="BR440" s="31"/>
      <c r="BS440" s="31"/>
      <c r="BT440" s="31"/>
      <c r="BU440" s="31"/>
      <c r="BV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c r="BO441" s="31"/>
      <c r="BP441" s="31"/>
      <c r="BQ441" s="31"/>
      <c r="BR441" s="31"/>
      <c r="BS441" s="31"/>
      <c r="BT441" s="31"/>
      <c r="BU441" s="31"/>
      <c r="BV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c r="BO442" s="31"/>
      <c r="BP442" s="31"/>
      <c r="BQ442" s="31"/>
      <c r="BR442" s="31"/>
      <c r="BS442" s="31"/>
      <c r="BT442" s="31"/>
      <c r="BU442" s="31"/>
      <c r="BV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c r="BO443" s="31"/>
      <c r="BP443" s="31"/>
      <c r="BQ443" s="31"/>
      <c r="BR443" s="31"/>
      <c r="BS443" s="31"/>
      <c r="BT443" s="31"/>
      <c r="BU443" s="31"/>
      <c r="BV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c r="BI444" s="31"/>
      <c r="BJ444" s="31"/>
      <c r="BK444" s="31"/>
      <c r="BL444" s="31"/>
      <c r="BM444" s="31"/>
      <c r="BN444" s="31"/>
      <c r="BO444" s="31"/>
      <c r="BP444" s="31"/>
      <c r="BQ444" s="31"/>
      <c r="BR444" s="31"/>
      <c r="BS444" s="31"/>
      <c r="BT444" s="31"/>
      <c r="BU444" s="31"/>
      <c r="BV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31"/>
      <c r="BJ445" s="31"/>
      <c r="BK445" s="31"/>
      <c r="BL445" s="31"/>
      <c r="BM445" s="31"/>
      <c r="BN445" s="31"/>
      <c r="BO445" s="31"/>
      <c r="BP445" s="31"/>
      <c r="BQ445" s="31"/>
      <c r="BR445" s="31"/>
      <c r="BS445" s="31"/>
      <c r="BT445" s="31"/>
      <c r="BU445" s="31"/>
      <c r="BV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c r="BO446" s="31"/>
      <c r="BP446" s="31"/>
      <c r="BQ446" s="31"/>
      <c r="BR446" s="31"/>
      <c r="BS446" s="31"/>
      <c r="BT446" s="31"/>
      <c r="BU446" s="31"/>
      <c r="BV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31"/>
      <c r="BJ451" s="31"/>
      <c r="BK451" s="31"/>
      <c r="BL451" s="31"/>
      <c r="BM451" s="31"/>
      <c r="BN451" s="31"/>
      <c r="BO451" s="31"/>
      <c r="BP451" s="31"/>
      <c r="BQ451" s="31"/>
      <c r="BR451" s="31"/>
      <c r="BS451" s="31"/>
      <c r="BT451" s="31"/>
      <c r="BU451" s="31"/>
      <c r="BV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31"/>
      <c r="BJ452" s="31"/>
      <c r="BK452" s="31"/>
      <c r="BL452" s="31"/>
      <c r="BM452" s="31"/>
      <c r="BN452" s="31"/>
      <c r="BO452" s="31"/>
      <c r="BP452" s="31"/>
      <c r="BQ452" s="31"/>
      <c r="BR452" s="31"/>
      <c r="BS452" s="31"/>
      <c r="BT452" s="31"/>
      <c r="BU452" s="31"/>
      <c r="BV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1"/>
      <c r="BL453" s="31"/>
      <c r="BM453" s="31"/>
      <c r="BN453" s="31"/>
      <c r="BO453" s="31"/>
      <c r="BP453" s="31"/>
      <c r="BQ453" s="31"/>
      <c r="BR453" s="31"/>
      <c r="BS453" s="31"/>
      <c r="BT453" s="31"/>
      <c r="BU453" s="31"/>
      <c r="BV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31"/>
      <c r="BJ454" s="31"/>
      <c r="BK454" s="31"/>
      <c r="BL454" s="31"/>
      <c r="BM454" s="31"/>
      <c r="BN454" s="31"/>
      <c r="BO454" s="31"/>
      <c r="BP454" s="31"/>
      <c r="BQ454" s="31"/>
      <c r="BR454" s="31"/>
      <c r="BS454" s="31"/>
      <c r="BT454" s="31"/>
      <c r="BU454" s="31"/>
      <c r="BV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31"/>
      <c r="BJ455" s="31"/>
      <c r="BK455" s="31"/>
      <c r="BL455" s="31"/>
      <c r="BM455" s="31"/>
      <c r="BN455" s="31"/>
      <c r="BO455" s="31"/>
      <c r="BP455" s="31"/>
      <c r="BQ455" s="31"/>
      <c r="BR455" s="31"/>
      <c r="BS455" s="31"/>
      <c r="BT455" s="31"/>
      <c r="BU455" s="31"/>
      <c r="BV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c r="BI456" s="31"/>
      <c r="BJ456" s="31"/>
      <c r="BK456" s="31"/>
      <c r="BL456" s="31"/>
      <c r="BM456" s="31"/>
      <c r="BN456" s="31"/>
      <c r="BO456" s="31"/>
      <c r="BP456" s="31"/>
      <c r="BQ456" s="31"/>
      <c r="BR456" s="31"/>
      <c r="BS456" s="31"/>
      <c r="BT456" s="31"/>
      <c r="BU456" s="31"/>
      <c r="BV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31"/>
      <c r="BJ457" s="31"/>
      <c r="BK457" s="31"/>
      <c r="BL457" s="31"/>
      <c r="BM457" s="31"/>
      <c r="BN457" s="31"/>
      <c r="BO457" s="31"/>
      <c r="BP457" s="31"/>
      <c r="BQ457" s="31"/>
      <c r="BR457" s="31"/>
      <c r="BS457" s="31"/>
      <c r="BT457" s="31"/>
      <c r="BU457" s="31"/>
      <c r="BV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1"/>
      <c r="BL458" s="31"/>
      <c r="BM458" s="31"/>
      <c r="BN458" s="31"/>
      <c r="BO458" s="31"/>
      <c r="BP458" s="31"/>
      <c r="BQ458" s="31"/>
      <c r="BR458" s="31"/>
      <c r="BS458" s="31"/>
      <c r="BT458" s="31"/>
      <c r="BU458" s="31"/>
      <c r="BV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31"/>
      <c r="BJ459" s="31"/>
      <c r="BK459" s="31"/>
      <c r="BL459" s="31"/>
      <c r="BM459" s="31"/>
      <c r="BN459" s="31"/>
      <c r="BO459" s="31"/>
      <c r="BP459" s="31"/>
      <c r="BQ459" s="31"/>
      <c r="BR459" s="31"/>
      <c r="BS459" s="31"/>
      <c r="BT459" s="31"/>
      <c r="BU459" s="31"/>
      <c r="BV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1"/>
      <c r="BL460" s="31"/>
      <c r="BM460" s="31"/>
      <c r="BN460" s="31"/>
      <c r="BO460" s="31"/>
      <c r="BP460" s="31"/>
      <c r="BQ460" s="31"/>
      <c r="BR460" s="31"/>
      <c r="BS460" s="31"/>
      <c r="BT460" s="31"/>
      <c r="BU460" s="31"/>
      <c r="BV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c r="BI461" s="31"/>
      <c r="BJ461" s="31"/>
      <c r="BK461" s="31"/>
      <c r="BL461" s="31"/>
      <c r="BM461" s="31"/>
      <c r="BN461" s="31"/>
      <c r="BO461" s="31"/>
      <c r="BP461" s="31"/>
      <c r="BQ461" s="31"/>
      <c r="BR461" s="31"/>
      <c r="BS461" s="31"/>
      <c r="BT461" s="31"/>
      <c r="BU461" s="31"/>
      <c r="BV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c r="BI462" s="31"/>
      <c r="BJ462" s="31"/>
      <c r="BK462" s="31"/>
      <c r="BL462" s="31"/>
      <c r="BM462" s="31"/>
      <c r="BN462" s="31"/>
      <c r="BO462" s="31"/>
      <c r="BP462" s="31"/>
      <c r="BQ462" s="31"/>
      <c r="BR462" s="31"/>
      <c r="BS462" s="31"/>
      <c r="BT462" s="31"/>
      <c r="BU462" s="31"/>
      <c r="BV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31"/>
      <c r="BJ463" s="31"/>
      <c r="BK463" s="31"/>
      <c r="BL463" s="31"/>
      <c r="BM463" s="31"/>
      <c r="BN463" s="31"/>
      <c r="BO463" s="31"/>
      <c r="BP463" s="31"/>
      <c r="BQ463" s="31"/>
      <c r="BR463" s="31"/>
      <c r="BS463" s="31"/>
      <c r="BT463" s="31"/>
      <c r="BU463" s="31"/>
      <c r="BV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c r="BI464" s="31"/>
      <c r="BJ464" s="31"/>
      <c r="BK464" s="31"/>
      <c r="BL464" s="31"/>
      <c r="BM464" s="31"/>
      <c r="BN464" s="31"/>
      <c r="BO464" s="31"/>
      <c r="BP464" s="31"/>
      <c r="BQ464" s="31"/>
      <c r="BR464" s="31"/>
      <c r="BS464" s="31"/>
      <c r="BT464" s="31"/>
      <c r="BU464" s="31"/>
      <c r="BV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31"/>
      <c r="BJ465" s="31"/>
      <c r="BK465" s="31"/>
      <c r="BL465" s="31"/>
      <c r="BM465" s="31"/>
      <c r="BN465" s="31"/>
      <c r="BO465" s="31"/>
      <c r="BP465" s="31"/>
      <c r="BQ465" s="31"/>
      <c r="BR465" s="31"/>
      <c r="BS465" s="31"/>
      <c r="BT465" s="31"/>
      <c r="BU465" s="31"/>
      <c r="BV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31"/>
      <c r="BJ466" s="31"/>
      <c r="BK466" s="31"/>
      <c r="BL466" s="31"/>
      <c r="BM466" s="31"/>
      <c r="BN466" s="31"/>
      <c r="BO466" s="31"/>
      <c r="BP466" s="31"/>
      <c r="BQ466" s="31"/>
      <c r="BR466" s="31"/>
      <c r="BS466" s="31"/>
      <c r="BT466" s="31"/>
      <c r="BU466" s="31"/>
      <c r="BV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31"/>
      <c r="BJ467" s="31"/>
      <c r="BK467" s="31"/>
      <c r="BL467" s="31"/>
      <c r="BM467" s="31"/>
      <c r="BN467" s="31"/>
      <c r="BO467" s="31"/>
      <c r="BP467" s="31"/>
      <c r="BQ467" s="31"/>
      <c r="BR467" s="31"/>
      <c r="BS467" s="31"/>
      <c r="BT467" s="31"/>
      <c r="BU467" s="31"/>
      <c r="BV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c r="BI468" s="31"/>
      <c r="BJ468" s="31"/>
      <c r="BK468" s="31"/>
      <c r="BL468" s="31"/>
      <c r="BM468" s="31"/>
      <c r="BN468" s="31"/>
      <c r="BO468" s="31"/>
      <c r="BP468" s="31"/>
      <c r="BQ468" s="31"/>
      <c r="BR468" s="31"/>
      <c r="BS468" s="31"/>
      <c r="BT468" s="31"/>
      <c r="BU468" s="31"/>
      <c r="BV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31"/>
      <c r="BJ469" s="31"/>
      <c r="BK469" s="31"/>
      <c r="BL469" s="31"/>
      <c r="BM469" s="31"/>
      <c r="BN469" s="31"/>
      <c r="BO469" s="31"/>
      <c r="BP469" s="31"/>
      <c r="BQ469" s="31"/>
      <c r="BR469" s="31"/>
      <c r="BS469" s="31"/>
      <c r="BT469" s="31"/>
      <c r="BU469" s="31"/>
      <c r="BV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c r="BO470" s="31"/>
      <c r="BP470" s="31"/>
      <c r="BQ470" s="31"/>
      <c r="BR470" s="31"/>
      <c r="BS470" s="31"/>
      <c r="BT470" s="31"/>
      <c r="BU470" s="31"/>
      <c r="BV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c r="BO471" s="31"/>
      <c r="BP471" s="31"/>
      <c r="BQ471" s="31"/>
      <c r="BR471" s="31"/>
      <c r="BS471" s="31"/>
      <c r="BT471" s="31"/>
      <c r="BU471" s="31"/>
      <c r="BV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c r="BO472" s="31"/>
      <c r="BP472" s="31"/>
      <c r="BQ472" s="31"/>
      <c r="BR472" s="31"/>
      <c r="BS472" s="31"/>
      <c r="BT472" s="31"/>
      <c r="BU472" s="31"/>
      <c r="BV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31"/>
      <c r="BJ473" s="31"/>
      <c r="BK473" s="31"/>
      <c r="BL473" s="31"/>
      <c r="BM473" s="31"/>
      <c r="BN473" s="31"/>
      <c r="BO473" s="31"/>
      <c r="BP473" s="31"/>
      <c r="BQ473" s="31"/>
      <c r="BR473" s="31"/>
      <c r="BS473" s="31"/>
      <c r="BT473" s="31"/>
      <c r="BU473" s="31"/>
      <c r="BV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1"/>
      <c r="BE474" s="31"/>
      <c r="BF474" s="31"/>
      <c r="BG474" s="31"/>
      <c r="BH474" s="31"/>
      <c r="BI474" s="31"/>
      <c r="BJ474" s="31"/>
      <c r="BK474" s="31"/>
      <c r="BL474" s="31"/>
      <c r="BM474" s="31"/>
      <c r="BN474" s="31"/>
      <c r="BO474" s="31"/>
      <c r="BP474" s="31"/>
      <c r="BQ474" s="31"/>
      <c r="BR474" s="31"/>
      <c r="BS474" s="31"/>
      <c r="BT474" s="31"/>
      <c r="BU474" s="31"/>
      <c r="BV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31"/>
      <c r="BH475" s="31"/>
      <c r="BI475" s="31"/>
      <c r="BJ475" s="31"/>
      <c r="BK475" s="31"/>
      <c r="BL475" s="31"/>
      <c r="BM475" s="31"/>
      <c r="BN475" s="31"/>
      <c r="BO475" s="31"/>
      <c r="BP475" s="31"/>
      <c r="BQ475" s="31"/>
      <c r="BR475" s="31"/>
      <c r="BS475" s="31"/>
      <c r="BT475" s="31"/>
      <c r="BU475" s="31"/>
      <c r="BV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31"/>
      <c r="BJ476" s="31"/>
      <c r="BK476" s="31"/>
      <c r="BL476" s="31"/>
      <c r="BM476" s="31"/>
      <c r="BN476" s="31"/>
      <c r="BO476" s="31"/>
      <c r="BP476" s="31"/>
      <c r="BQ476" s="31"/>
      <c r="BR476" s="31"/>
      <c r="BS476" s="31"/>
      <c r="BT476" s="31"/>
      <c r="BU476" s="31"/>
      <c r="BV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31"/>
      <c r="BJ477" s="31"/>
      <c r="BK477" s="31"/>
      <c r="BL477" s="31"/>
      <c r="BM477" s="31"/>
      <c r="BN477" s="31"/>
      <c r="BO477" s="31"/>
      <c r="BP477" s="31"/>
      <c r="BQ477" s="31"/>
      <c r="BR477" s="31"/>
      <c r="BS477" s="31"/>
      <c r="BT477" s="31"/>
      <c r="BU477" s="31"/>
      <c r="BV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31"/>
      <c r="BJ478" s="31"/>
      <c r="BK478" s="31"/>
      <c r="BL478" s="31"/>
      <c r="BM478" s="31"/>
      <c r="BN478" s="31"/>
      <c r="BO478" s="31"/>
      <c r="BP478" s="31"/>
      <c r="BQ478" s="31"/>
      <c r="BR478" s="31"/>
      <c r="BS478" s="31"/>
      <c r="BT478" s="31"/>
      <c r="BU478" s="31"/>
      <c r="BV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31"/>
      <c r="BJ479" s="31"/>
      <c r="BK479" s="31"/>
      <c r="BL479" s="31"/>
      <c r="BM479" s="31"/>
      <c r="BN479" s="31"/>
      <c r="BO479" s="31"/>
      <c r="BP479" s="31"/>
      <c r="BQ479" s="31"/>
      <c r="BR479" s="31"/>
      <c r="BS479" s="31"/>
      <c r="BT479" s="31"/>
      <c r="BU479" s="31"/>
      <c r="BV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31"/>
      <c r="BJ480" s="31"/>
      <c r="BK480" s="31"/>
      <c r="BL480" s="31"/>
      <c r="BM480" s="31"/>
      <c r="BN480" s="31"/>
      <c r="BO480" s="31"/>
      <c r="BP480" s="31"/>
      <c r="BQ480" s="31"/>
      <c r="BR480" s="31"/>
      <c r="BS480" s="31"/>
      <c r="BT480" s="31"/>
      <c r="BU480" s="31"/>
      <c r="BV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31"/>
      <c r="BJ481" s="31"/>
      <c r="BK481" s="31"/>
      <c r="BL481" s="31"/>
      <c r="BM481" s="31"/>
      <c r="BN481" s="31"/>
      <c r="BO481" s="31"/>
      <c r="BP481" s="31"/>
      <c r="BQ481" s="31"/>
      <c r="BR481" s="31"/>
      <c r="BS481" s="31"/>
      <c r="BT481" s="31"/>
      <c r="BU481" s="31"/>
      <c r="BV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31"/>
      <c r="BJ482" s="31"/>
      <c r="BK482" s="31"/>
      <c r="BL482" s="31"/>
      <c r="BM482" s="31"/>
      <c r="BN482" s="31"/>
      <c r="BO482" s="31"/>
      <c r="BP482" s="31"/>
      <c r="BQ482" s="31"/>
      <c r="BR482" s="31"/>
      <c r="BS482" s="31"/>
      <c r="BT482" s="31"/>
      <c r="BU482" s="31"/>
      <c r="BV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31"/>
      <c r="BJ483" s="31"/>
      <c r="BK483" s="31"/>
      <c r="BL483" s="31"/>
      <c r="BM483" s="31"/>
      <c r="BN483" s="31"/>
      <c r="BO483" s="31"/>
      <c r="BP483" s="31"/>
      <c r="BQ483" s="31"/>
      <c r="BR483" s="31"/>
      <c r="BS483" s="31"/>
      <c r="BT483" s="31"/>
      <c r="BU483" s="31"/>
      <c r="BV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31"/>
      <c r="BJ484" s="31"/>
      <c r="BK484" s="31"/>
      <c r="BL484" s="31"/>
      <c r="BM484" s="31"/>
      <c r="BN484" s="31"/>
      <c r="BO484" s="31"/>
      <c r="BP484" s="31"/>
      <c r="BQ484" s="31"/>
      <c r="BR484" s="31"/>
      <c r="BS484" s="31"/>
      <c r="BT484" s="31"/>
      <c r="BU484" s="31"/>
      <c r="BV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31"/>
      <c r="BJ485" s="31"/>
      <c r="BK485" s="31"/>
      <c r="BL485" s="31"/>
      <c r="BM485" s="31"/>
      <c r="BN485" s="31"/>
      <c r="BO485" s="31"/>
      <c r="BP485" s="31"/>
      <c r="BQ485" s="31"/>
      <c r="BR485" s="31"/>
      <c r="BS485" s="31"/>
      <c r="BT485" s="31"/>
      <c r="BU485" s="31"/>
      <c r="BV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31"/>
      <c r="BH486" s="31"/>
      <c r="BI486" s="31"/>
      <c r="BJ486" s="31"/>
      <c r="BK486" s="31"/>
      <c r="BL486" s="31"/>
      <c r="BM486" s="31"/>
      <c r="BN486" s="31"/>
      <c r="BO486" s="31"/>
      <c r="BP486" s="31"/>
      <c r="BQ486" s="31"/>
      <c r="BR486" s="31"/>
      <c r="BS486" s="31"/>
      <c r="BT486" s="31"/>
      <c r="BU486" s="31"/>
      <c r="BV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31"/>
      <c r="BH487" s="31"/>
      <c r="BI487" s="31"/>
      <c r="BJ487" s="31"/>
      <c r="BK487" s="31"/>
      <c r="BL487" s="31"/>
      <c r="BM487" s="31"/>
      <c r="BN487" s="31"/>
      <c r="BO487" s="31"/>
      <c r="BP487" s="31"/>
      <c r="BQ487" s="31"/>
      <c r="BR487" s="31"/>
      <c r="BS487" s="31"/>
      <c r="BT487" s="31"/>
      <c r="BU487" s="31"/>
      <c r="BV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31"/>
      <c r="BJ488" s="31"/>
      <c r="BK488" s="31"/>
      <c r="BL488" s="31"/>
      <c r="BM488" s="31"/>
      <c r="BN488" s="31"/>
      <c r="BO488" s="31"/>
      <c r="BP488" s="31"/>
      <c r="BQ488" s="31"/>
      <c r="BR488" s="31"/>
      <c r="BS488" s="31"/>
      <c r="BT488" s="31"/>
      <c r="BU488" s="31"/>
      <c r="BV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31"/>
      <c r="BJ489" s="31"/>
      <c r="BK489" s="31"/>
      <c r="BL489" s="31"/>
      <c r="BM489" s="31"/>
      <c r="BN489" s="31"/>
      <c r="BO489" s="31"/>
      <c r="BP489" s="31"/>
      <c r="BQ489" s="31"/>
      <c r="BR489" s="31"/>
      <c r="BS489" s="31"/>
      <c r="BT489" s="31"/>
      <c r="BU489" s="31"/>
      <c r="BV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31"/>
      <c r="BJ490" s="31"/>
      <c r="BK490" s="31"/>
      <c r="BL490" s="31"/>
      <c r="BM490" s="31"/>
      <c r="BN490" s="31"/>
      <c r="BO490" s="31"/>
      <c r="BP490" s="31"/>
      <c r="BQ490" s="31"/>
      <c r="BR490" s="31"/>
      <c r="BS490" s="31"/>
      <c r="BT490" s="31"/>
      <c r="BU490" s="31"/>
      <c r="BV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31"/>
      <c r="BJ491" s="31"/>
      <c r="BK491" s="31"/>
      <c r="BL491" s="31"/>
      <c r="BM491" s="31"/>
      <c r="BN491" s="31"/>
      <c r="BO491" s="31"/>
      <c r="BP491" s="31"/>
      <c r="BQ491" s="31"/>
      <c r="BR491" s="31"/>
      <c r="BS491" s="31"/>
      <c r="BT491" s="31"/>
      <c r="BU491" s="31"/>
      <c r="BV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31"/>
      <c r="BH492" s="31"/>
      <c r="BI492" s="31"/>
      <c r="BJ492" s="31"/>
      <c r="BK492" s="31"/>
      <c r="BL492" s="31"/>
      <c r="BM492" s="31"/>
      <c r="BN492" s="31"/>
      <c r="BO492" s="31"/>
      <c r="BP492" s="31"/>
      <c r="BQ492" s="31"/>
      <c r="BR492" s="31"/>
      <c r="BS492" s="31"/>
      <c r="BT492" s="31"/>
      <c r="BU492" s="31"/>
      <c r="BV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31"/>
      <c r="BH493" s="31"/>
      <c r="BI493" s="31"/>
      <c r="BJ493" s="31"/>
      <c r="BK493" s="31"/>
      <c r="BL493" s="31"/>
      <c r="BM493" s="31"/>
      <c r="BN493" s="31"/>
      <c r="BO493" s="31"/>
      <c r="BP493" s="31"/>
      <c r="BQ493" s="31"/>
      <c r="BR493" s="31"/>
      <c r="BS493" s="31"/>
      <c r="BT493" s="31"/>
      <c r="BU493" s="31"/>
      <c r="BV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31"/>
      <c r="BH494" s="31"/>
      <c r="BI494" s="31"/>
      <c r="BJ494" s="31"/>
      <c r="BK494" s="31"/>
      <c r="BL494" s="31"/>
      <c r="BM494" s="31"/>
      <c r="BN494" s="31"/>
      <c r="BO494" s="31"/>
      <c r="BP494" s="31"/>
      <c r="BQ494" s="31"/>
      <c r="BR494" s="31"/>
      <c r="BS494" s="31"/>
      <c r="BT494" s="31"/>
      <c r="BU494" s="31"/>
      <c r="BV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31"/>
      <c r="BJ495" s="31"/>
      <c r="BK495" s="31"/>
      <c r="BL495" s="31"/>
      <c r="BM495" s="31"/>
      <c r="BN495" s="31"/>
      <c r="BO495" s="31"/>
      <c r="BP495" s="31"/>
      <c r="BQ495" s="31"/>
      <c r="BR495" s="31"/>
      <c r="BS495" s="31"/>
      <c r="BT495" s="31"/>
      <c r="BU495" s="31"/>
      <c r="BV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31"/>
      <c r="BJ496" s="31"/>
      <c r="BK496" s="31"/>
      <c r="BL496" s="31"/>
      <c r="BM496" s="31"/>
      <c r="BN496" s="31"/>
      <c r="BO496" s="31"/>
      <c r="BP496" s="31"/>
      <c r="BQ496" s="31"/>
      <c r="BR496" s="31"/>
      <c r="BS496" s="31"/>
      <c r="BT496" s="31"/>
      <c r="BU496" s="31"/>
      <c r="BV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31"/>
      <c r="BJ497" s="31"/>
      <c r="BK497" s="31"/>
      <c r="BL497" s="31"/>
      <c r="BM497" s="31"/>
      <c r="BN497" s="31"/>
      <c r="BO497" s="31"/>
      <c r="BP497" s="31"/>
      <c r="BQ497" s="31"/>
      <c r="BR497" s="31"/>
      <c r="BS497" s="31"/>
      <c r="BT497" s="31"/>
      <c r="BU497" s="31"/>
      <c r="BV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31"/>
      <c r="BJ498" s="31"/>
      <c r="BK498" s="31"/>
      <c r="BL498" s="31"/>
      <c r="BM498" s="31"/>
      <c r="BN498" s="31"/>
      <c r="BO498" s="31"/>
      <c r="BP498" s="31"/>
      <c r="BQ498" s="31"/>
      <c r="BR498" s="31"/>
      <c r="BS498" s="31"/>
      <c r="BT498" s="31"/>
      <c r="BU498" s="31"/>
      <c r="BV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31"/>
      <c r="BJ499" s="31"/>
      <c r="BK499" s="31"/>
      <c r="BL499" s="31"/>
      <c r="BM499" s="31"/>
      <c r="BN499" s="31"/>
      <c r="BO499" s="31"/>
      <c r="BP499" s="31"/>
      <c r="BQ499" s="31"/>
      <c r="BR499" s="31"/>
      <c r="BS499" s="31"/>
      <c r="BT499" s="31"/>
      <c r="BU499" s="31"/>
      <c r="BV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31"/>
      <c r="BJ500" s="31"/>
      <c r="BK500" s="31"/>
      <c r="BL500" s="31"/>
      <c r="BM500" s="31"/>
      <c r="BN500" s="31"/>
      <c r="BO500" s="31"/>
      <c r="BP500" s="31"/>
      <c r="BQ500" s="31"/>
      <c r="BR500" s="31"/>
      <c r="BS500" s="31"/>
      <c r="BT500" s="31"/>
      <c r="BU500" s="31"/>
      <c r="BV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31"/>
      <c r="BJ501" s="31"/>
      <c r="BK501" s="31"/>
      <c r="BL501" s="31"/>
      <c r="BM501" s="31"/>
      <c r="BN501" s="31"/>
      <c r="BO501" s="31"/>
      <c r="BP501" s="31"/>
      <c r="BQ501" s="31"/>
      <c r="BR501" s="31"/>
      <c r="BS501" s="31"/>
      <c r="BT501" s="31"/>
      <c r="BU501" s="31"/>
      <c r="BV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31"/>
      <c r="BJ502" s="31"/>
      <c r="BK502" s="31"/>
      <c r="BL502" s="31"/>
      <c r="BM502" s="31"/>
      <c r="BN502" s="31"/>
      <c r="BO502" s="31"/>
      <c r="BP502" s="31"/>
      <c r="BQ502" s="31"/>
      <c r="BR502" s="31"/>
      <c r="BS502" s="31"/>
      <c r="BT502" s="31"/>
      <c r="BU502" s="31"/>
      <c r="BV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31"/>
      <c r="BJ503" s="31"/>
      <c r="BK503" s="31"/>
      <c r="BL503" s="31"/>
      <c r="BM503" s="31"/>
      <c r="BN503" s="31"/>
      <c r="BO503" s="31"/>
      <c r="BP503" s="31"/>
      <c r="BQ503" s="31"/>
      <c r="BR503" s="31"/>
      <c r="BS503" s="31"/>
      <c r="BT503" s="31"/>
      <c r="BU503" s="31"/>
      <c r="BV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31"/>
      <c r="BJ504" s="31"/>
      <c r="BK504" s="31"/>
      <c r="BL504" s="31"/>
      <c r="BM504" s="31"/>
      <c r="BN504" s="31"/>
      <c r="BO504" s="31"/>
      <c r="BP504" s="31"/>
      <c r="BQ504" s="31"/>
      <c r="BR504" s="31"/>
      <c r="BS504" s="31"/>
      <c r="BT504" s="31"/>
      <c r="BU504" s="31"/>
      <c r="BV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31"/>
      <c r="BJ505" s="31"/>
      <c r="BK505" s="31"/>
      <c r="BL505" s="31"/>
      <c r="BM505" s="31"/>
      <c r="BN505" s="31"/>
      <c r="BO505" s="31"/>
      <c r="BP505" s="31"/>
      <c r="BQ505" s="31"/>
      <c r="BR505" s="31"/>
      <c r="BS505" s="31"/>
      <c r="BT505" s="31"/>
      <c r="BU505" s="31"/>
      <c r="BV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31"/>
      <c r="BJ506" s="31"/>
      <c r="BK506" s="31"/>
      <c r="BL506" s="31"/>
      <c r="BM506" s="31"/>
      <c r="BN506" s="31"/>
      <c r="BO506" s="31"/>
      <c r="BP506" s="31"/>
      <c r="BQ506" s="31"/>
      <c r="BR506" s="31"/>
      <c r="BS506" s="31"/>
      <c r="BT506" s="31"/>
      <c r="BU506" s="31"/>
      <c r="BV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31"/>
      <c r="BJ507" s="31"/>
      <c r="BK507" s="31"/>
      <c r="BL507" s="31"/>
      <c r="BM507" s="31"/>
      <c r="BN507" s="31"/>
      <c r="BO507" s="31"/>
      <c r="BP507" s="31"/>
      <c r="BQ507" s="31"/>
      <c r="BR507" s="31"/>
      <c r="BS507" s="31"/>
      <c r="BT507" s="31"/>
      <c r="BU507" s="31"/>
      <c r="BV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31"/>
      <c r="BJ508" s="31"/>
      <c r="BK508" s="31"/>
      <c r="BL508" s="31"/>
      <c r="BM508" s="31"/>
      <c r="BN508" s="31"/>
      <c r="BO508" s="31"/>
      <c r="BP508" s="31"/>
      <c r="BQ508" s="31"/>
      <c r="BR508" s="31"/>
      <c r="BS508" s="31"/>
      <c r="BT508" s="31"/>
      <c r="BU508" s="31"/>
      <c r="BV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31"/>
      <c r="BJ509" s="31"/>
      <c r="BK509" s="31"/>
      <c r="BL509" s="31"/>
      <c r="BM509" s="31"/>
      <c r="BN509" s="31"/>
      <c r="BO509" s="31"/>
      <c r="BP509" s="31"/>
      <c r="BQ509" s="31"/>
      <c r="BR509" s="31"/>
      <c r="BS509" s="31"/>
      <c r="BT509" s="31"/>
      <c r="BU509" s="31"/>
      <c r="BV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31"/>
      <c r="BJ510" s="31"/>
      <c r="BK510" s="31"/>
      <c r="BL510" s="31"/>
      <c r="BM510" s="31"/>
      <c r="BN510" s="31"/>
      <c r="BO510" s="31"/>
      <c r="BP510" s="31"/>
      <c r="BQ510" s="31"/>
      <c r="BR510" s="31"/>
      <c r="BS510" s="31"/>
      <c r="BT510" s="31"/>
      <c r="BU510" s="31"/>
      <c r="BV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31"/>
      <c r="BH511" s="31"/>
      <c r="BI511" s="31"/>
      <c r="BJ511" s="31"/>
      <c r="BK511" s="31"/>
      <c r="BL511" s="31"/>
      <c r="BM511" s="31"/>
      <c r="BN511" s="31"/>
      <c r="BO511" s="31"/>
      <c r="BP511" s="31"/>
      <c r="BQ511" s="31"/>
      <c r="BR511" s="31"/>
      <c r="BS511" s="31"/>
      <c r="BT511" s="31"/>
      <c r="BU511" s="31"/>
      <c r="BV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31"/>
      <c r="BH512" s="31"/>
      <c r="BI512" s="31"/>
      <c r="BJ512" s="31"/>
      <c r="BK512" s="31"/>
      <c r="BL512" s="31"/>
      <c r="BM512" s="31"/>
      <c r="BN512" s="31"/>
      <c r="BO512" s="31"/>
      <c r="BP512" s="31"/>
      <c r="BQ512" s="31"/>
      <c r="BR512" s="31"/>
      <c r="BS512" s="31"/>
      <c r="BT512" s="31"/>
      <c r="BU512" s="31"/>
      <c r="BV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31"/>
      <c r="BJ513" s="31"/>
      <c r="BK513" s="31"/>
      <c r="BL513" s="31"/>
      <c r="BM513" s="31"/>
      <c r="BN513" s="31"/>
      <c r="BO513" s="31"/>
      <c r="BP513" s="31"/>
      <c r="BQ513" s="31"/>
      <c r="BR513" s="31"/>
      <c r="BS513" s="31"/>
      <c r="BT513" s="31"/>
      <c r="BU513" s="31"/>
      <c r="BV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31"/>
      <c r="BH514" s="31"/>
      <c r="BI514" s="31"/>
      <c r="BJ514" s="31"/>
      <c r="BK514" s="31"/>
      <c r="BL514" s="31"/>
      <c r="BM514" s="31"/>
      <c r="BN514" s="31"/>
      <c r="BO514" s="31"/>
      <c r="BP514" s="31"/>
      <c r="BQ514" s="31"/>
      <c r="BR514" s="31"/>
      <c r="BS514" s="31"/>
      <c r="BT514" s="31"/>
      <c r="BU514" s="31"/>
      <c r="BV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31"/>
      <c r="BJ515" s="31"/>
      <c r="BK515" s="31"/>
      <c r="BL515" s="31"/>
      <c r="BM515" s="31"/>
      <c r="BN515" s="31"/>
      <c r="BO515" s="31"/>
      <c r="BP515" s="31"/>
      <c r="BQ515" s="31"/>
      <c r="BR515" s="31"/>
      <c r="BS515" s="31"/>
      <c r="BT515" s="31"/>
      <c r="BU515" s="31"/>
      <c r="BV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31"/>
      <c r="BH516" s="31"/>
      <c r="BI516" s="31"/>
      <c r="BJ516" s="31"/>
      <c r="BK516" s="31"/>
      <c r="BL516" s="31"/>
      <c r="BM516" s="31"/>
      <c r="BN516" s="31"/>
      <c r="BO516" s="31"/>
      <c r="BP516" s="31"/>
      <c r="BQ516" s="31"/>
      <c r="BR516" s="31"/>
      <c r="BS516" s="31"/>
      <c r="BT516" s="31"/>
      <c r="BU516" s="31"/>
      <c r="BV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31"/>
      <c r="BH517" s="31"/>
      <c r="BI517" s="31"/>
      <c r="BJ517" s="31"/>
      <c r="BK517" s="31"/>
      <c r="BL517" s="31"/>
      <c r="BM517" s="31"/>
      <c r="BN517" s="31"/>
      <c r="BO517" s="31"/>
      <c r="BP517" s="31"/>
      <c r="BQ517" s="31"/>
      <c r="BR517" s="31"/>
      <c r="BS517" s="31"/>
      <c r="BT517" s="31"/>
      <c r="BU517" s="31"/>
      <c r="BV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31"/>
      <c r="BH518" s="31"/>
      <c r="BI518" s="31"/>
      <c r="BJ518" s="31"/>
      <c r="BK518" s="31"/>
      <c r="BL518" s="31"/>
      <c r="BM518" s="31"/>
      <c r="BN518" s="31"/>
      <c r="BO518" s="31"/>
      <c r="BP518" s="31"/>
      <c r="BQ518" s="31"/>
      <c r="BR518" s="31"/>
      <c r="BS518" s="31"/>
      <c r="BT518" s="31"/>
      <c r="BU518" s="31"/>
      <c r="BV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31"/>
      <c r="BJ519" s="31"/>
      <c r="BK519" s="31"/>
      <c r="BL519" s="31"/>
      <c r="BM519" s="31"/>
      <c r="BN519" s="31"/>
      <c r="BO519" s="31"/>
      <c r="BP519" s="31"/>
      <c r="BQ519" s="31"/>
      <c r="BR519" s="31"/>
      <c r="BS519" s="31"/>
      <c r="BT519" s="31"/>
      <c r="BU519" s="31"/>
      <c r="BV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31"/>
      <c r="BJ520" s="31"/>
      <c r="BK520" s="31"/>
      <c r="BL520" s="31"/>
      <c r="BM520" s="31"/>
      <c r="BN520" s="31"/>
      <c r="BO520" s="31"/>
      <c r="BP520" s="31"/>
      <c r="BQ520" s="31"/>
      <c r="BR520" s="31"/>
      <c r="BS520" s="31"/>
      <c r="BT520" s="31"/>
      <c r="BU520" s="31"/>
      <c r="BV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31"/>
      <c r="BJ521" s="31"/>
      <c r="BK521" s="31"/>
      <c r="BL521" s="31"/>
      <c r="BM521" s="31"/>
      <c r="BN521" s="31"/>
      <c r="BO521" s="31"/>
      <c r="BP521" s="31"/>
      <c r="BQ521" s="31"/>
      <c r="BR521" s="31"/>
      <c r="BS521" s="31"/>
      <c r="BT521" s="31"/>
      <c r="BU521" s="31"/>
      <c r="BV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31"/>
      <c r="BH522" s="31"/>
      <c r="BI522" s="31"/>
      <c r="BJ522" s="31"/>
      <c r="BK522" s="31"/>
      <c r="BL522" s="31"/>
      <c r="BM522" s="31"/>
      <c r="BN522" s="31"/>
      <c r="BO522" s="31"/>
      <c r="BP522" s="31"/>
      <c r="BQ522" s="31"/>
      <c r="BR522" s="31"/>
      <c r="BS522" s="31"/>
      <c r="BT522" s="31"/>
      <c r="BU522" s="31"/>
      <c r="BV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31"/>
      <c r="BJ523" s="31"/>
      <c r="BK523" s="31"/>
      <c r="BL523" s="31"/>
      <c r="BM523" s="31"/>
      <c r="BN523" s="31"/>
      <c r="BO523" s="31"/>
      <c r="BP523" s="31"/>
      <c r="BQ523" s="31"/>
      <c r="BR523" s="31"/>
      <c r="BS523" s="31"/>
      <c r="BT523" s="31"/>
      <c r="BU523" s="31"/>
      <c r="BV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31"/>
      <c r="BH524" s="31"/>
      <c r="BI524" s="31"/>
      <c r="BJ524" s="31"/>
      <c r="BK524" s="31"/>
      <c r="BL524" s="31"/>
      <c r="BM524" s="31"/>
      <c r="BN524" s="31"/>
      <c r="BO524" s="31"/>
      <c r="BP524" s="31"/>
      <c r="BQ524" s="31"/>
      <c r="BR524" s="31"/>
      <c r="BS524" s="31"/>
      <c r="BT524" s="31"/>
      <c r="BU524" s="31"/>
      <c r="BV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31"/>
      <c r="BJ525" s="31"/>
      <c r="BK525" s="31"/>
      <c r="BL525" s="31"/>
      <c r="BM525" s="31"/>
      <c r="BN525" s="31"/>
      <c r="BO525" s="31"/>
      <c r="BP525" s="31"/>
      <c r="BQ525" s="31"/>
      <c r="BR525" s="31"/>
      <c r="BS525" s="31"/>
      <c r="BT525" s="31"/>
      <c r="BU525" s="31"/>
      <c r="BV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31"/>
      <c r="BH526" s="31"/>
      <c r="BI526" s="31"/>
      <c r="BJ526" s="31"/>
      <c r="BK526" s="31"/>
      <c r="BL526" s="31"/>
      <c r="BM526" s="31"/>
      <c r="BN526" s="31"/>
      <c r="BO526" s="31"/>
      <c r="BP526" s="31"/>
      <c r="BQ526" s="31"/>
      <c r="BR526" s="31"/>
      <c r="BS526" s="31"/>
      <c r="BT526" s="31"/>
      <c r="BU526" s="31"/>
      <c r="BV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31"/>
      <c r="BJ527" s="31"/>
      <c r="BK527" s="31"/>
      <c r="BL527" s="31"/>
      <c r="BM527" s="31"/>
      <c r="BN527" s="31"/>
      <c r="BO527" s="31"/>
      <c r="BP527" s="31"/>
      <c r="BQ527" s="31"/>
      <c r="BR527" s="31"/>
      <c r="BS527" s="31"/>
      <c r="BT527" s="31"/>
      <c r="BU527" s="31"/>
      <c r="BV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31"/>
      <c r="BJ528" s="31"/>
      <c r="BK528" s="31"/>
      <c r="BL528" s="31"/>
      <c r="BM528" s="31"/>
      <c r="BN528" s="31"/>
      <c r="BO528" s="31"/>
      <c r="BP528" s="31"/>
      <c r="BQ528" s="31"/>
      <c r="BR528" s="31"/>
      <c r="BS528" s="31"/>
      <c r="BT528" s="31"/>
      <c r="BU528" s="31"/>
      <c r="BV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31"/>
      <c r="BJ529" s="31"/>
      <c r="BK529" s="31"/>
      <c r="BL529" s="31"/>
      <c r="BM529" s="31"/>
      <c r="BN529" s="31"/>
      <c r="BO529" s="31"/>
      <c r="BP529" s="31"/>
      <c r="BQ529" s="31"/>
      <c r="BR529" s="31"/>
      <c r="BS529" s="31"/>
      <c r="BT529" s="31"/>
      <c r="BU529" s="31"/>
      <c r="BV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31"/>
      <c r="BJ530" s="31"/>
      <c r="BK530" s="31"/>
      <c r="BL530" s="31"/>
      <c r="BM530" s="31"/>
      <c r="BN530" s="31"/>
      <c r="BO530" s="31"/>
      <c r="BP530" s="31"/>
      <c r="BQ530" s="31"/>
      <c r="BR530" s="31"/>
      <c r="BS530" s="31"/>
      <c r="BT530" s="31"/>
      <c r="BU530" s="31"/>
      <c r="BV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31"/>
      <c r="BJ531" s="31"/>
      <c r="BK531" s="31"/>
      <c r="BL531" s="31"/>
      <c r="BM531" s="31"/>
      <c r="BN531" s="31"/>
      <c r="BO531" s="31"/>
      <c r="BP531" s="31"/>
      <c r="BQ531" s="31"/>
      <c r="BR531" s="31"/>
      <c r="BS531" s="31"/>
      <c r="BT531" s="31"/>
      <c r="BU531" s="31"/>
      <c r="BV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31"/>
      <c r="BJ532" s="31"/>
      <c r="BK532" s="31"/>
      <c r="BL532" s="31"/>
      <c r="BM532" s="31"/>
      <c r="BN532" s="31"/>
      <c r="BO532" s="31"/>
      <c r="BP532" s="31"/>
      <c r="BQ532" s="31"/>
      <c r="BR532" s="31"/>
      <c r="BS532" s="31"/>
      <c r="BT532" s="31"/>
      <c r="BU532" s="31"/>
      <c r="BV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31"/>
      <c r="BJ533" s="31"/>
      <c r="BK533" s="31"/>
      <c r="BL533" s="31"/>
      <c r="BM533" s="31"/>
      <c r="BN533" s="31"/>
      <c r="BO533" s="31"/>
      <c r="BP533" s="31"/>
      <c r="BQ533" s="31"/>
      <c r="BR533" s="31"/>
      <c r="BS533" s="31"/>
      <c r="BT533" s="31"/>
      <c r="BU533" s="31"/>
      <c r="BV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31"/>
      <c r="BJ534" s="31"/>
      <c r="BK534" s="31"/>
      <c r="BL534" s="31"/>
      <c r="BM534" s="31"/>
      <c r="BN534" s="31"/>
      <c r="BO534" s="31"/>
      <c r="BP534" s="31"/>
      <c r="BQ534" s="31"/>
      <c r="BR534" s="31"/>
      <c r="BS534" s="31"/>
      <c r="BT534" s="31"/>
      <c r="BU534" s="31"/>
      <c r="BV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31"/>
      <c r="BJ535" s="31"/>
      <c r="BK535" s="31"/>
      <c r="BL535" s="31"/>
      <c r="BM535" s="31"/>
      <c r="BN535" s="31"/>
      <c r="BO535" s="31"/>
      <c r="BP535" s="31"/>
      <c r="BQ535" s="31"/>
      <c r="BR535" s="31"/>
      <c r="BS535" s="31"/>
      <c r="BT535" s="31"/>
      <c r="BU535" s="31"/>
      <c r="BV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31"/>
      <c r="BJ536" s="31"/>
      <c r="BK536" s="31"/>
      <c r="BL536" s="31"/>
      <c r="BM536" s="31"/>
      <c r="BN536" s="31"/>
      <c r="BO536" s="31"/>
      <c r="BP536" s="31"/>
      <c r="BQ536" s="31"/>
      <c r="BR536" s="31"/>
      <c r="BS536" s="31"/>
      <c r="BT536" s="31"/>
      <c r="BU536" s="31"/>
      <c r="BV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31"/>
      <c r="BH537" s="31"/>
      <c r="BI537" s="31"/>
      <c r="BJ537" s="31"/>
      <c r="BK537" s="31"/>
      <c r="BL537" s="31"/>
      <c r="BM537" s="31"/>
      <c r="BN537" s="31"/>
      <c r="BO537" s="31"/>
      <c r="BP537" s="31"/>
      <c r="BQ537" s="31"/>
      <c r="BR537" s="31"/>
      <c r="BS537" s="31"/>
      <c r="BT537" s="31"/>
      <c r="BU537" s="31"/>
      <c r="BV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31"/>
      <c r="BH538" s="31"/>
      <c r="BI538" s="31"/>
      <c r="BJ538" s="31"/>
      <c r="BK538" s="31"/>
      <c r="BL538" s="31"/>
      <c r="BM538" s="31"/>
      <c r="BN538" s="31"/>
      <c r="BO538" s="31"/>
      <c r="BP538" s="31"/>
      <c r="BQ538" s="31"/>
      <c r="BR538" s="31"/>
      <c r="BS538" s="31"/>
      <c r="BT538" s="31"/>
      <c r="BU538" s="31"/>
      <c r="BV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31"/>
      <c r="BH539" s="31"/>
      <c r="BI539" s="31"/>
      <c r="BJ539" s="31"/>
      <c r="BK539" s="31"/>
      <c r="BL539" s="31"/>
      <c r="BM539" s="31"/>
      <c r="BN539" s="31"/>
      <c r="BO539" s="31"/>
      <c r="BP539" s="31"/>
      <c r="BQ539" s="31"/>
      <c r="BR539" s="31"/>
      <c r="BS539" s="31"/>
      <c r="BT539" s="31"/>
      <c r="BU539" s="31"/>
      <c r="BV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31"/>
      <c r="BH540" s="31"/>
      <c r="BI540" s="31"/>
      <c r="BJ540" s="31"/>
      <c r="BK540" s="31"/>
      <c r="BL540" s="31"/>
      <c r="BM540" s="31"/>
      <c r="BN540" s="31"/>
      <c r="BO540" s="31"/>
      <c r="BP540" s="31"/>
      <c r="BQ540" s="31"/>
      <c r="BR540" s="31"/>
      <c r="BS540" s="31"/>
      <c r="BT540" s="31"/>
      <c r="BU540" s="31"/>
      <c r="BV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31"/>
      <c r="BJ541" s="31"/>
      <c r="BK541" s="31"/>
      <c r="BL541" s="31"/>
      <c r="BM541" s="31"/>
      <c r="BN541" s="31"/>
      <c r="BO541" s="31"/>
      <c r="BP541" s="31"/>
      <c r="BQ541" s="31"/>
      <c r="BR541" s="31"/>
      <c r="BS541" s="31"/>
      <c r="BT541" s="31"/>
      <c r="BU541" s="31"/>
      <c r="BV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1"/>
      <c r="BE542" s="31"/>
      <c r="BF542" s="31"/>
      <c r="BG542" s="31"/>
      <c r="BH542" s="31"/>
      <c r="BI542" s="31"/>
      <c r="BJ542" s="31"/>
      <c r="BK542" s="31"/>
      <c r="BL542" s="31"/>
      <c r="BM542" s="31"/>
      <c r="BN542" s="31"/>
      <c r="BO542" s="31"/>
      <c r="BP542" s="31"/>
      <c r="BQ542" s="31"/>
      <c r="BR542" s="31"/>
      <c r="BS542" s="31"/>
      <c r="BT542" s="31"/>
      <c r="BU542" s="31"/>
      <c r="BV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31"/>
      <c r="BJ543" s="31"/>
      <c r="BK543" s="31"/>
      <c r="BL543" s="31"/>
      <c r="BM543" s="31"/>
      <c r="BN543" s="31"/>
      <c r="BO543" s="31"/>
      <c r="BP543" s="31"/>
      <c r="BQ543" s="31"/>
      <c r="BR543" s="31"/>
      <c r="BS543" s="31"/>
      <c r="BT543" s="31"/>
      <c r="BU543" s="31"/>
      <c r="BV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31"/>
      <c r="BH544" s="31"/>
      <c r="BI544" s="31"/>
      <c r="BJ544" s="31"/>
      <c r="BK544" s="31"/>
      <c r="BL544" s="31"/>
      <c r="BM544" s="31"/>
      <c r="BN544" s="31"/>
      <c r="BO544" s="31"/>
      <c r="BP544" s="31"/>
      <c r="BQ544" s="31"/>
      <c r="BR544" s="31"/>
      <c r="BS544" s="31"/>
      <c r="BT544" s="31"/>
      <c r="BU544" s="31"/>
      <c r="BV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31"/>
      <c r="BJ545" s="31"/>
      <c r="BK545" s="31"/>
      <c r="BL545" s="31"/>
      <c r="BM545" s="31"/>
      <c r="BN545" s="31"/>
      <c r="BO545" s="31"/>
      <c r="BP545" s="31"/>
      <c r="BQ545" s="31"/>
      <c r="BR545" s="31"/>
      <c r="BS545" s="31"/>
      <c r="BT545" s="31"/>
      <c r="BU545" s="31"/>
      <c r="BV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31"/>
      <c r="BJ546" s="31"/>
      <c r="BK546" s="31"/>
      <c r="BL546" s="31"/>
      <c r="BM546" s="31"/>
      <c r="BN546" s="31"/>
      <c r="BO546" s="31"/>
      <c r="BP546" s="31"/>
      <c r="BQ546" s="31"/>
      <c r="BR546" s="31"/>
      <c r="BS546" s="31"/>
      <c r="BT546" s="31"/>
      <c r="BU546" s="31"/>
      <c r="BV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31"/>
      <c r="BJ547" s="31"/>
      <c r="BK547" s="31"/>
      <c r="BL547" s="31"/>
      <c r="BM547" s="31"/>
      <c r="BN547" s="31"/>
      <c r="BO547" s="31"/>
      <c r="BP547" s="31"/>
      <c r="BQ547" s="31"/>
      <c r="BR547" s="31"/>
      <c r="BS547" s="31"/>
      <c r="BT547" s="31"/>
      <c r="BU547" s="31"/>
      <c r="BV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31"/>
      <c r="BH548" s="31"/>
      <c r="BI548" s="31"/>
      <c r="BJ548" s="31"/>
      <c r="BK548" s="31"/>
      <c r="BL548" s="31"/>
      <c r="BM548" s="31"/>
      <c r="BN548" s="31"/>
      <c r="BO548" s="31"/>
      <c r="BP548" s="31"/>
      <c r="BQ548" s="31"/>
      <c r="BR548" s="31"/>
      <c r="BS548" s="31"/>
      <c r="BT548" s="31"/>
      <c r="BU548" s="31"/>
      <c r="BV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31"/>
      <c r="BJ549" s="31"/>
      <c r="BK549" s="31"/>
      <c r="BL549" s="31"/>
      <c r="BM549" s="31"/>
      <c r="BN549" s="31"/>
      <c r="BO549" s="31"/>
      <c r="BP549" s="31"/>
      <c r="BQ549" s="31"/>
      <c r="BR549" s="31"/>
      <c r="BS549" s="31"/>
      <c r="BT549" s="31"/>
      <c r="BU549" s="31"/>
      <c r="BV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31"/>
      <c r="BJ550" s="31"/>
      <c r="BK550" s="31"/>
      <c r="BL550" s="31"/>
      <c r="BM550" s="31"/>
      <c r="BN550" s="31"/>
      <c r="BO550" s="31"/>
      <c r="BP550" s="31"/>
      <c r="BQ550" s="31"/>
      <c r="BR550" s="31"/>
      <c r="BS550" s="31"/>
      <c r="BT550" s="31"/>
      <c r="BU550" s="31"/>
      <c r="BV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31"/>
      <c r="BH551" s="31"/>
      <c r="BI551" s="31"/>
      <c r="BJ551" s="31"/>
      <c r="BK551" s="31"/>
      <c r="BL551" s="31"/>
      <c r="BM551" s="31"/>
      <c r="BN551" s="31"/>
      <c r="BO551" s="31"/>
      <c r="BP551" s="31"/>
      <c r="BQ551" s="31"/>
      <c r="BR551" s="31"/>
      <c r="BS551" s="31"/>
      <c r="BT551" s="31"/>
      <c r="BU551" s="31"/>
      <c r="BV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31"/>
      <c r="BJ552" s="31"/>
      <c r="BK552" s="31"/>
      <c r="BL552" s="31"/>
      <c r="BM552" s="31"/>
      <c r="BN552" s="31"/>
      <c r="BO552" s="31"/>
      <c r="BP552" s="31"/>
      <c r="BQ552" s="31"/>
      <c r="BR552" s="31"/>
      <c r="BS552" s="31"/>
      <c r="BT552" s="31"/>
      <c r="BU552" s="31"/>
      <c r="BV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31"/>
      <c r="BJ553" s="31"/>
      <c r="BK553" s="31"/>
      <c r="BL553" s="31"/>
      <c r="BM553" s="31"/>
      <c r="BN553" s="31"/>
      <c r="BO553" s="31"/>
      <c r="BP553" s="31"/>
      <c r="BQ553" s="31"/>
      <c r="BR553" s="31"/>
      <c r="BS553" s="31"/>
      <c r="BT553" s="31"/>
      <c r="BU553" s="31"/>
      <c r="BV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31"/>
      <c r="BJ554" s="31"/>
      <c r="BK554" s="31"/>
      <c r="BL554" s="31"/>
      <c r="BM554" s="31"/>
      <c r="BN554" s="31"/>
      <c r="BO554" s="31"/>
      <c r="BP554" s="31"/>
      <c r="BQ554" s="31"/>
      <c r="BR554" s="31"/>
      <c r="BS554" s="31"/>
      <c r="BT554" s="31"/>
      <c r="BU554" s="31"/>
      <c r="BV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31"/>
      <c r="BJ555" s="31"/>
      <c r="BK555" s="31"/>
      <c r="BL555" s="31"/>
      <c r="BM555" s="31"/>
      <c r="BN555" s="31"/>
      <c r="BO555" s="31"/>
      <c r="BP555" s="31"/>
      <c r="BQ555" s="31"/>
      <c r="BR555" s="31"/>
      <c r="BS555" s="31"/>
      <c r="BT555" s="31"/>
      <c r="BU555" s="31"/>
      <c r="BV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31"/>
      <c r="BJ556" s="31"/>
      <c r="BK556" s="31"/>
      <c r="BL556" s="31"/>
      <c r="BM556" s="31"/>
      <c r="BN556" s="31"/>
      <c r="BO556" s="31"/>
      <c r="BP556" s="31"/>
      <c r="BQ556" s="31"/>
      <c r="BR556" s="31"/>
      <c r="BS556" s="31"/>
      <c r="BT556" s="31"/>
      <c r="BU556" s="31"/>
      <c r="BV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31"/>
      <c r="BJ557" s="31"/>
      <c r="BK557" s="31"/>
      <c r="BL557" s="31"/>
      <c r="BM557" s="31"/>
      <c r="BN557" s="31"/>
      <c r="BO557" s="31"/>
      <c r="BP557" s="31"/>
      <c r="BQ557" s="31"/>
      <c r="BR557" s="31"/>
      <c r="BS557" s="31"/>
      <c r="BT557" s="31"/>
      <c r="BU557" s="31"/>
      <c r="BV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31"/>
      <c r="BJ558" s="31"/>
      <c r="BK558" s="31"/>
      <c r="BL558" s="31"/>
      <c r="BM558" s="31"/>
      <c r="BN558" s="31"/>
      <c r="BO558" s="31"/>
      <c r="BP558" s="31"/>
      <c r="BQ558" s="31"/>
      <c r="BR558" s="31"/>
      <c r="BS558" s="31"/>
      <c r="BT558" s="31"/>
      <c r="BU558" s="31"/>
      <c r="BV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31"/>
      <c r="BJ559" s="31"/>
      <c r="BK559" s="31"/>
      <c r="BL559" s="31"/>
      <c r="BM559" s="31"/>
      <c r="BN559" s="31"/>
      <c r="BO559" s="31"/>
      <c r="BP559" s="31"/>
      <c r="BQ559" s="31"/>
      <c r="BR559" s="31"/>
      <c r="BS559" s="31"/>
      <c r="BT559" s="31"/>
      <c r="BU559" s="31"/>
      <c r="BV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31"/>
      <c r="BJ560" s="31"/>
      <c r="BK560" s="31"/>
      <c r="BL560" s="31"/>
      <c r="BM560" s="31"/>
      <c r="BN560" s="31"/>
      <c r="BO560" s="31"/>
      <c r="BP560" s="31"/>
      <c r="BQ560" s="31"/>
      <c r="BR560" s="31"/>
      <c r="BS560" s="31"/>
      <c r="BT560" s="31"/>
      <c r="BU560" s="31"/>
      <c r="BV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31"/>
      <c r="BJ561" s="31"/>
      <c r="BK561" s="31"/>
      <c r="BL561" s="31"/>
      <c r="BM561" s="31"/>
      <c r="BN561" s="31"/>
      <c r="BO561" s="31"/>
      <c r="BP561" s="31"/>
      <c r="BQ561" s="31"/>
      <c r="BR561" s="31"/>
      <c r="BS561" s="31"/>
      <c r="BT561" s="31"/>
      <c r="BU561" s="31"/>
      <c r="BV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31"/>
      <c r="BJ562" s="31"/>
      <c r="BK562" s="31"/>
      <c r="BL562" s="31"/>
      <c r="BM562" s="31"/>
      <c r="BN562" s="31"/>
      <c r="BO562" s="31"/>
      <c r="BP562" s="31"/>
      <c r="BQ562" s="31"/>
      <c r="BR562" s="31"/>
      <c r="BS562" s="31"/>
      <c r="BT562" s="31"/>
      <c r="BU562" s="31"/>
      <c r="BV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31"/>
      <c r="BJ563" s="31"/>
      <c r="BK563" s="31"/>
      <c r="BL563" s="31"/>
      <c r="BM563" s="31"/>
      <c r="BN563" s="31"/>
      <c r="BO563" s="31"/>
      <c r="BP563" s="31"/>
      <c r="BQ563" s="31"/>
      <c r="BR563" s="31"/>
      <c r="BS563" s="31"/>
      <c r="BT563" s="31"/>
      <c r="BU563" s="31"/>
      <c r="BV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31"/>
      <c r="BJ564" s="31"/>
      <c r="BK564" s="31"/>
      <c r="BL564" s="31"/>
      <c r="BM564" s="31"/>
      <c r="BN564" s="31"/>
      <c r="BO564" s="31"/>
      <c r="BP564" s="31"/>
      <c r="BQ564" s="31"/>
      <c r="BR564" s="31"/>
      <c r="BS564" s="31"/>
      <c r="BT564" s="31"/>
      <c r="BU564" s="31"/>
      <c r="BV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31"/>
      <c r="BJ565" s="31"/>
      <c r="BK565" s="31"/>
      <c r="BL565" s="31"/>
      <c r="BM565" s="31"/>
      <c r="BN565" s="31"/>
      <c r="BO565" s="31"/>
      <c r="BP565" s="31"/>
      <c r="BQ565" s="31"/>
      <c r="BR565" s="31"/>
      <c r="BS565" s="31"/>
      <c r="BT565" s="31"/>
      <c r="BU565" s="31"/>
      <c r="BV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31"/>
      <c r="BJ566" s="31"/>
      <c r="BK566" s="31"/>
      <c r="BL566" s="31"/>
      <c r="BM566" s="31"/>
      <c r="BN566" s="31"/>
      <c r="BO566" s="31"/>
      <c r="BP566" s="31"/>
      <c r="BQ566" s="31"/>
      <c r="BR566" s="31"/>
      <c r="BS566" s="31"/>
      <c r="BT566" s="31"/>
      <c r="BU566" s="31"/>
      <c r="BV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31"/>
      <c r="BJ567" s="31"/>
      <c r="BK567" s="31"/>
      <c r="BL567" s="31"/>
      <c r="BM567" s="31"/>
      <c r="BN567" s="31"/>
      <c r="BO567" s="31"/>
      <c r="BP567" s="31"/>
      <c r="BQ567" s="31"/>
      <c r="BR567" s="31"/>
      <c r="BS567" s="31"/>
      <c r="BT567" s="31"/>
      <c r="BU567" s="31"/>
      <c r="BV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31"/>
      <c r="BJ568" s="31"/>
      <c r="BK568" s="31"/>
      <c r="BL568" s="31"/>
      <c r="BM568" s="31"/>
      <c r="BN568" s="31"/>
      <c r="BO568" s="31"/>
      <c r="BP568" s="31"/>
      <c r="BQ568" s="31"/>
      <c r="BR568" s="31"/>
      <c r="BS568" s="31"/>
      <c r="BT568" s="31"/>
      <c r="BU568" s="31"/>
      <c r="BV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31"/>
      <c r="BJ569" s="31"/>
      <c r="BK569" s="31"/>
      <c r="BL569" s="31"/>
      <c r="BM569" s="31"/>
      <c r="BN569" s="31"/>
      <c r="BO569" s="31"/>
      <c r="BP569" s="31"/>
      <c r="BQ569" s="31"/>
      <c r="BR569" s="31"/>
      <c r="BS569" s="31"/>
      <c r="BT569" s="31"/>
      <c r="BU569" s="31"/>
      <c r="BV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31"/>
      <c r="BJ570" s="31"/>
      <c r="BK570" s="31"/>
      <c r="BL570" s="31"/>
      <c r="BM570" s="31"/>
      <c r="BN570" s="31"/>
      <c r="BO570" s="31"/>
      <c r="BP570" s="31"/>
      <c r="BQ570" s="31"/>
      <c r="BR570" s="31"/>
      <c r="BS570" s="31"/>
      <c r="BT570" s="31"/>
      <c r="BU570" s="31"/>
      <c r="BV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31"/>
      <c r="BJ571" s="31"/>
      <c r="BK571" s="31"/>
      <c r="BL571" s="31"/>
      <c r="BM571" s="31"/>
      <c r="BN571" s="31"/>
      <c r="BO571" s="31"/>
      <c r="BP571" s="31"/>
      <c r="BQ571" s="31"/>
      <c r="BR571" s="31"/>
      <c r="BS571" s="31"/>
      <c r="BT571" s="31"/>
      <c r="BU571" s="31"/>
      <c r="BV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31"/>
      <c r="BH572" s="31"/>
      <c r="BI572" s="31"/>
      <c r="BJ572" s="31"/>
      <c r="BK572" s="31"/>
      <c r="BL572" s="31"/>
      <c r="BM572" s="31"/>
      <c r="BN572" s="31"/>
      <c r="BO572" s="31"/>
      <c r="BP572" s="31"/>
      <c r="BQ572" s="31"/>
      <c r="BR572" s="31"/>
      <c r="BS572" s="31"/>
      <c r="BT572" s="31"/>
      <c r="BU572" s="31"/>
      <c r="BV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31"/>
      <c r="BJ573" s="31"/>
      <c r="BK573" s="31"/>
      <c r="BL573" s="31"/>
      <c r="BM573" s="31"/>
      <c r="BN573" s="31"/>
      <c r="BO573" s="31"/>
      <c r="BP573" s="31"/>
      <c r="BQ573" s="31"/>
      <c r="BR573" s="31"/>
      <c r="BS573" s="31"/>
      <c r="BT573" s="31"/>
      <c r="BU573" s="31"/>
      <c r="BV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31"/>
      <c r="BJ574" s="31"/>
      <c r="BK574" s="31"/>
      <c r="BL574" s="31"/>
      <c r="BM574" s="31"/>
      <c r="BN574" s="31"/>
      <c r="BO574" s="31"/>
      <c r="BP574" s="31"/>
      <c r="BQ574" s="31"/>
      <c r="BR574" s="31"/>
      <c r="BS574" s="31"/>
      <c r="BT574" s="31"/>
      <c r="BU574" s="31"/>
      <c r="BV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c r="BS575" s="31"/>
      <c r="BT575" s="31"/>
      <c r="BU575" s="31"/>
      <c r="BV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31"/>
      <c r="BJ576" s="31"/>
      <c r="BK576" s="31"/>
      <c r="BL576" s="31"/>
      <c r="BM576" s="31"/>
      <c r="BN576" s="31"/>
      <c r="BO576" s="31"/>
      <c r="BP576" s="31"/>
      <c r="BQ576" s="31"/>
      <c r="BR576" s="31"/>
      <c r="BS576" s="31"/>
      <c r="BT576" s="31"/>
      <c r="BU576" s="31"/>
      <c r="BV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31"/>
      <c r="BJ577" s="31"/>
      <c r="BK577" s="31"/>
      <c r="BL577" s="31"/>
      <c r="BM577" s="31"/>
      <c r="BN577" s="31"/>
      <c r="BO577" s="31"/>
      <c r="BP577" s="31"/>
      <c r="BQ577" s="31"/>
      <c r="BR577" s="31"/>
      <c r="BS577" s="31"/>
      <c r="BT577" s="31"/>
      <c r="BU577" s="31"/>
      <c r="BV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31"/>
      <c r="BJ578" s="31"/>
      <c r="BK578" s="31"/>
      <c r="BL578" s="31"/>
      <c r="BM578" s="31"/>
      <c r="BN578" s="31"/>
      <c r="BO578" s="31"/>
      <c r="BP578" s="31"/>
      <c r="BQ578" s="31"/>
      <c r="BR578" s="31"/>
      <c r="BS578" s="31"/>
      <c r="BT578" s="31"/>
      <c r="BU578" s="31"/>
      <c r="BV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31"/>
      <c r="BJ579" s="31"/>
      <c r="BK579" s="31"/>
      <c r="BL579" s="31"/>
      <c r="BM579" s="31"/>
      <c r="BN579" s="31"/>
      <c r="BO579" s="31"/>
      <c r="BP579" s="31"/>
      <c r="BQ579" s="31"/>
      <c r="BR579" s="31"/>
      <c r="BS579" s="31"/>
      <c r="BT579" s="31"/>
      <c r="BU579" s="31"/>
      <c r="BV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c r="BS580" s="31"/>
      <c r="BT580" s="31"/>
      <c r="BU580" s="31"/>
      <c r="BV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31"/>
      <c r="BH581" s="31"/>
      <c r="BI581" s="31"/>
      <c r="BJ581" s="31"/>
      <c r="BK581" s="31"/>
      <c r="BL581" s="31"/>
      <c r="BM581" s="31"/>
      <c r="BN581" s="31"/>
      <c r="BO581" s="31"/>
      <c r="BP581" s="31"/>
      <c r="BQ581" s="31"/>
      <c r="BR581" s="31"/>
      <c r="BS581" s="31"/>
      <c r="BT581" s="31"/>
      <c r="BU581" s="31"/>
      <c r="BV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31"/>
      <c r="BJ582" s="31"/>
      <c r="BK582" s="31"/>
      <c r="BL582" s="31"/>
      <c r="BM582" s="31"/>
      <c r="BN582" s="31"/>
      <c r="BO582" s="31"/>
      <c r="BP582" s="31"/>
      <c r="BQ582" s="31"/>
      <c r="BR582" s="31"/>
      <c r="BS582" s="31"/>
      <c r="BT582" s="31"/>
      <c r="BU582" s="31"/>
      <c r="BV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31"/>
      <c r="BJ583" s="31"/>
      <c r="BK583" s="31"/>
      <c r="BL583" s="31"/>
      <c r="BM583" s="31"/>
      <c r="BN583" s="31"/>
      <c r="BO583" s="31"/>
      <c r="BP583" s="31"/>
      <c r="BQ583" s="31"/>
      <c r="BR583" s="31"/>
      <c r="BS583" s="31"/>
      <c r="BT583" s="31"/>
      <c r="BU583" s="31"/>
      <c r="BV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31"/>
      <c r="BJ584" s="31"/>
      <c r="BK584" s="31"/>
      <c r="BL584" s="31"/>
      <c r="BM584" s="31"/>
      <c r="BN584" s="31"/>
      <c r="BO584" s="31"/>
      <c r="BP584" s="31"/>
      <c r="BQ584" s="31"/>
      <c r="BR584" s="31"/>
      <c r="BS584" s="31"/>
      <c r="BT584" s="31"/>
      <c r="BU584" s="31"/>
      <c r="BV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31"/>
      <c r="BJ585" s="31"/>
      <c r="BK585" s="31"/>
      <c r="BL585" s="31"/>
      <c r="BM585" s="31"/>
      <c r="BN585" s="31"/>
      <c r="BO585" s="31"/>
      <c r="BP585" s="31"/>
      <c r="BQ585" s="31"/>
      <c r="BR585" s="31"/>
      <c r="BS585" s="31"/>
      <c r="BT585" s="31"/>
      <c r="BU585" s="31"/>
      <c r="BV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31"/>
      <c r="BJ586" s="31"/>
      <c r="BK586" s="31"/>
      <c r="BL586" s="31"/>
      <c r="BM586" s="31"/>
      <c r="BN586" s="31"/>
      <c r="BO586" s="31"/>
      <c r="BP586" s="31"/>
      <c r="BQ586" s="31"/>
      <c r="BR586" s="31"/>
      <c r="BS586" s="31"/>
      <c r="BT586" s="31"/>
      <c r="BU586" s="31"/>
      <c r="BV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31"/>
      <c r="BJ587" s="31"/>
      <c r="BK587" s="31"/>
      <c r="BL587" s="31"/>
      <c r="BM587" s="31"/>
      <c r="BN587" s="31"/>
      <c r="BO587" s="31"/>
      <c r="BP587" s="31"/>
      <c r="BQ587" s="31"/>
      <c r="BR587" s="31"/>
      <c r="BS587" s="31"/>
      <c r="BT587" s="31"/>
      <c r="BU587" s="31"/>
      <c r="BV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31"/>
      <c r="BJ588" s="31"/>
      <c r="BK588" s="31"/>
      <c r="BL588" s="31"/>
      <c r="BM588" s="31"/>
      <c r="BN588" s="31"/>
      <c r="BO588" s="31"/>
      <c r="BP588" s="31"/>
      <c r="BQ588" s="31"/>
      <c r="BR588" s="31"/>
      <c r="BS588" s="31"/>
      <c r="BT588" s="31"/>
      <c r="BU588" s="31"/>
      <c r="BV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31"/>
      <c r="BJ589" s="31"/>
      <c r="BK589" s="31"/>
      <c r="BL589" s="31"/>
      <c r="BM589" s="31"/>
      <c r="BN589" s="31"/>
      <c r="BO589" s="31"/>
      <c r="BP589" s="31"/>
      <c r="BQ589" s="31"/>
      <c r="BR589" s="31"/>
      <c r="BS589" s="31"/>
      <c r="BT589" s="31"/>
      <c r="BU589" s="31"/>
      <c r="BV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31"/>
      <c r="BJ590" s="31"/>
      <c r="BK590" s="31"/>
      <c r="BL590" s="31"/>
      <c r="BM590" s="31"/>
      <c r="BN590" s="31"/>
      <c r="BO590" s="31"/>
      <c r="BP590" s="31"/>
      <c r="BQ590" s="31"/>
      <c r="BR590" s="31"/>
      <c r="BS590" s="31"/>
      <c r="BT590" s="31"/>
      <c r="BU590" s="31"/>
      <c r="BV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31"/>
      <c r="BJ591" s="31"/>
      <c r="BK591" s="31"/>
      <c r="BL591" s="31"/>
      <c r="BM591" s="31"/>
      <c r="BN591" s="31"/>
      <c r="BO591" s="31"/>
      <c r="BP591" s="31"/>
      <c r="BQ591" s="31"/>
      <c r="BR591" s="31"/>
      <c r="BS591" s="31"/>
      <c r="BT591" s="31"/>
      <c r="BU591" s="31"/>
      <c r="BV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31"/>
      <c r="BJ592" s="31"/>
      <c r="BK592" s="31"/>
      <c r="BL592" s="31"/>
      <c r="BM592" s="31"/>
      <c r="BN592" s="31"/>
      <c r="BO592" s="31"/>
      <c r="BP592" s="31"/>
      <c r="BQ592" s="31"/>
      <c r="BR592" s="31"/>
      <c r="BS592" s="31"/>
      <c r="BT592" s="31"/>
      <c r="BU592" s="31"/>
      <c r="BV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31"/>
      <c r="BJ593" s="31"/>
      <c r="BK593" s="31"/>
      <c r="BL593" s="31"/>
      <c r="BM593" s="31"/>
      <c r="BN593" s="31"/>
      <c r="BO593" s="31"/>
      <c r="BP593" s="31"/>
      <c r="BQ593" s="31"/>
      <c r="BR593" s="31"/>
      <c r="BS593" s="31"/>
      <c r="BT593" s="31"/>
      <c r="BU593" s="31"/>
      <c r="BV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31"/>
      <c r="BJ594" s="31"/>
      <c r="BK594" s="31"/>
      <c r="BL594" s="31"/>
      <c r="BM594" s="31"/>
      <c r="BN594" s="31"/>
      <c r="BO594" s="31"/>
      <c r="BP594" s="31"/>
      <c r="BQ594" s="31"/>
      <c r="BR594" s="31"/>
      <c r="BS594" s="31"/>
      <c r="BT594" s="31"/>
      <c r="BU594" s="31"/>
      <c r="BV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31"/>
      <c r="BJ595" s="31"/>
      <c r="BK595" s="31"/>
      <c r="BL595" s="31"/>
      <c r="BM595" s="31"/>
      <c r="BN595" s="31"/>
      <c r="BO595" s="31"/>
      <c r="BP595" s="31"/>
      <c r="BQ595" s="31"/>
      <c r="BR595" s="31"/>
      <c r="BS595" s="31"/>
      <c r="BT595" s="31"/>
      <c r="BU595" s="31"/>
      <c r="BV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1"/>
      <c r="BL596" s="31"/>
      <c r="BM596" s="31"/>
      <c r="BN596" s="31"/>
      <c r="BO596" s="31"/>
      <c r="BP596" s="31"/>
      <c r="BQ596" s="31"/>
      <c r="BR596" s="31"/>
      <c r="BS596" s="31"/>
      <c r="BT596" s="31"/>
      <c r="BU596" s="31"/>
      <c r="BV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31"/>
      <c r="BJ597" s="31"/>
      <c r="BK597" s="31"/>
      <c r="BL597" s="31"/>
      <c r="BM597" s="31"/>
      <c r="BN597" s="31"/>
      <c r="BO597" s="31"/>
      <c r="BP597" s="31"/>
      <c r="BQ597" s="31"/>
      <c r="BR597" s="31"/>
      <c r="BS597" s="31"/>
      <c r="BT597" s="31"/>
      <c r="BU597" s="31"/>
      <c r="BV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31"/>
      <c r="BJ598" s="31"/>
      <c r="BK598" s="31"/>
      <c r="BL598" s="31"/>
      <c r="BM598" s="31"/>
      <c r="BN598" s="31"/>
      <c r="BO598" s="31"/>
      <c r="BP598" s="31"/>
      <c r="BQ598" s="31"/>
      <c r="BR598" s="31"/>
      <c r="BS598" s="31"/>
      <c r="BT598" s="31"/>
      <c r="BU598" s="31"/>
      <c r="BV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c r="BO599" s="31"/>
      <c r="BP599" s="31"/>
      <c r="BQ599" s="31"/>
      <c r="BR599" s="31"/>
      <c r="BS599" s="31"/>
      <c r="BT599" s="31"/>
      <c r="BU599" s="31"/>
      <c r="BV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31"/>
      <c r="BJ600" s="31"/>
      <c r="BK600" s="31"/>
      <c r="BL600" s="31"/>
      <c r="BM600" s="31"/>
      <c r="BN600" s="31"/>
      <c r="BO600" s="31"/>
      <c r="BP600" s="31"/>
      <c r="BQ600" s="31"/>
      <c r="BR600" s="31"/>
      <c r="BS600" s="31"/>
      <c r="BT600" s="31"/>
      <c r="BU600" s="31"/>
      <c r="BV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31"/>
      <c r="BJ601" s="31"/>
      <c r="BK601" s="31"/>
      <c r="BL601" s="31"/>
      <c r="BM601" s="31"/>
      <c r="BN601" s="31"/>
      <c r="BO601" s="31"/>
      <c r="BP601" s="31"/>
      <c r="BQ601" s="31"/>
      <c r="BR601" s="31"/>
      <c r="BS601" s="31"/>
      <c r="BT601" s="31"/>
      <c r="BU601" s="31"/>
      <c r="BV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31"/>
      <c r="BJ602" s="31"/>
      <c r="BK602" s="31"/>
      <c r="BL602" s="31"/>
      <c r="BM602" s="31"/>
      <c r="BN602" s="31"/>
      <c r="BO602" s="31"/>
      <c r="BP602" s="31"/>
      <c r="BQ602" s="31"/>
      <c r="BR602" s="31"/>
      <c r="BS602" s="31"/>
      <c r="BT602" s="31"/>
      <c r="BU602" s="31"/>
      <c r="BV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31"/>
      <c r="BJ603" s="31"/>
      <c r="BK603" s="31"/>
      <c r="BL603" s="31"/>
      <c r="BM603" s="31"/>
      <c r="BN603" s="31"/>
      <c r="BO603" s="31"/>
      <c r="BP603" s="31"/>
      <c r="BQ603" s="31"/>
      <c r="BR603" s="31"/>
      <c r="BS603" s="31"/>
      <c r="BT603" s="31"/>
      <c r="BU603" s="31"/>
      <c r="BV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31"/>
      <c r="BH604" s="31"/>
      <c r="BI604" s="31"/>
      <c r="BJ604" s="31"/>
      <c r="BK604" s="31"/>
      <c r="BL604" s="31"/>
      <c r="BM604" s="31"/>
      <c r="BN604" s="31"/>
      <c r="BO604" s="31"/>
      <c r="BP604" s="31"/>
      <c r="BQ604" s="31"/>
      <c r="BR604" s="31"/>
      <c r="BS604" s="31"/>
      <c r="BT604" s="31"/>
      <c r="BU604" s="31"/>
      <c r="BV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31"/>
      <c r="BJ605" s="31"/>
      <c r="BK605" s="31"/>
      <c r="BL605" s="31"/>
      <c r="BM605" s="31"/>
      <c r="BN605" s="31"/>
      <c r="BO605" s="31"/>
      <c r="BP605" s="31"/>
      <c r="BQ605" s="31"/>
      <c r="BR605" s="31"/>
      <c r="BS605" s="31"/>
      <c r="BT605" s="31"/>
      <c r="BU605" s="31"/>
      <c r="BV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31"/>
      <c r="BJ606" s="31"/>
      <c r="BK606" s="31"/>
      <c r="BL606" s="31"/>
      <c r="BM606" s="31"/>
      <c r="BN606" s="31"/>
      <c r="BO606" s="31"/>
      <c r="BP606" s="31"/>
      <c r="BQ606" s="31"/>
      <c r="BR606" s="31"/>
      <c r="BS606" s="31"/>
      <c r="BT606" s="31"/>
      <c r="BU606" s="31"/>
      <c r="BV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31"/>
      <c r="BJ607" s="31"/>
      <c r="BK607" s="31"/>
      <c r="BL607" s="31"/>
      <c r="BM607" s="31"/>
      <c r="BN607" s="31"/>
      <c r="BO607" s="31"/>
      <c r="BP607" s="31"/>
      <c r="BQ607" s="31"/>
      <c r="BR607" s="31"/>
      <c r="BS607" s="31"/>
      <c r="BT607" s="31"/>
      <c r="BU607" s="31"/>
      <c r="BV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31"/>
      <c r="BJ608" s="31"/>
      <c r="BK608" s="31"/>
      <c r="BL608" s="31"/>
      <c r="BM608" s="31"/>
      <c r="BN608" s="31"/>
      <c r="BO608" s="31"/>
      <c r="BP608" s="31"/>
      <c r="BQ608" s="31"/>
      <c r="BR608" s="31"/>
      <c r="BS608" s="31"/>
      <c r="BT608" s="31"/>
      <c r="BU608" s="31"/>
      <c r="BV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31"/>
      <c r="BJ609" s="31"/>
      <c r="BK609" s="31"/>
      <c r="BL609" s="31"/>
      <c r="BM609" s="31"/>
      <c r="BN609" s="31"/>
      <c r="BO609" s="31"/>
      <c r="BP609" s="31"/>
      <c r="BQ609" s="31"/>
      <c r="BR609" s="31"/>
      <c r="BS609" s="31"/>
      <c r="BT609" s="31"/>
      <c r="BU609" s="31"/>
      <c r="BV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31"/>
      <c r="BJ610" s="31"/>
      <c r="BK610" s="31"/>
      <c r="BL610" s="31"/>
      <c r="BM610" s="31"/>
      <c r="BN610" s="31"/>
      <c r="BO610" s="31"/>
      <c r="BP610" s="31"/>
      <c r="BQ610" s="31"/>
      <c r="BR610" s="31"/>
      <c r="BS610" s="31"/>
      <c r="BT610" s="31"/>
      <c r="BU610" s="31"/>
      <c r="BV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31"/>
      <c r="BH611" s="31"/>
      <c r="BI611" s="31"/>
      <c r="BJ611" s="31"/>
      <c r="BK611" s="31"/>
      <c r="BL611" s="31"/>
      <c r="BM611" s="31"/>
      <c r="BN611" s="31"/>
      <c r="BO611" s="31"/>
      <c r="BP611" s="31"/>
      <c r="BQ611" s="31"/>
      <c r="BR611" s="31"/>
      <c r="BS611" s="31"/>
      <c r="BT611" s="31"/>
      <c r="BU611" s="31"/>
      <c r="BV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31"/>
      <c r="BJ612" s="31"/>
      <c r="BK612" s="31"/>
      <c r="BL612" s="31"/>
      <c r="BM612" s="31"/>
      <c r="BN612" s="31"/>
      <c r="BO612" s="31"/>
      <c r="BP612" s="31"/>
      <c r="BQ612" s="31"/>
      <c r="BR612" s="31"/>
      <c r="BS612" s="31"/>
      <c r="BT612" s="31"/>
      <c r="BU612" s="31"/>
      <c r="BV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31"/>
      <c r="BJ613" s="31"/>
      <c r="BK613" s="31"/>
      <c r="BL613" s="31"/>
      <c r="BM613" s="31"/>
      <c r="BN613" s="31"/>
      <c r="BO613" s="31"/>
      <c r="BP613" s="31"/>
      <c r="BQ613" s="31"/>
      <c r="BR613" s="31"/>
      <c r="BS613" s="31"/>
      <c r="BT613" s="31"/>
      <c r="BU613" s="31"/>
      <c r="BV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31"/>
      <c r="BJ614" s="31"/>
      <c r="BK614" s="31"/>
      <c r="BL614" s="31"/>
      <c r="BM614" s="31"/>
      <c r="BN614" s="31"/>
      <c r="BO614" s="31"/>
      <c r="BP614" s="31"/>
      <c r="BQ614" s="31"/>
      <c r="BR614" s="31"/>
      <c r="BS614" s="31"/>
      <c r="BT614" s="31"/>
      <c r="BU614" s="31"/>
      <c r="BV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31"/>
      <c r="BJ615" s="31"/>
      <c r="BK615" s="31"/>
      <c r="BL615" s="31"/>
      <c r="BM615" s="31"/>
      <c r="BN615" s="31"/>
      <c r="BO615" s="31"/>
      <c r="BP615" s="31"/>
      <c r="BQ615" s="31"/>
      <c r="BR615" s="31"/>
      <c r="BS615" s="31"/>
      <c r="BT615" s="31"/>
      <c r="BU615" s="31"/>
      <c r="BV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31"/>
      <c r="BH616" s="31"/>
      <c r="BI616" s="31"/>
      <c r="BJ616" s="31"/>
      <c r="BK616" s="31"/>
      <c r="BL616" s="31"/>
      <c r="BM616" s="31"/>
      <c r="BN616" s="31"/>
      <c r="BO616" s="31"/>
      <c r="BP616" s="31"/>
      <c r="BQ616" s="31"/>
      <c r="BR616" s="31"/>
      <c r="BS616" s="31"/>
      <c r="BT616" s="31"/>
      <c r="BU616" s="31"/>
      <c r="BV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31"/>
      <c r="BJ617" s="31"/>
      <c r="BK617" s="31"/>
      <c r="BL617" s="31"/>
      <c r="BM617" s="31"/>
      <c r="BN617" s="31"/>
      <c r="BO617" s="31"/>
      <c r="BP617" s="31"/>
      <c r="BQ617" s="31"/>
      <c r="BR617" s="31"/>
      <c r="BS617" s="31"/>
      <c r="BT617" s="31"/>
      <c r="BU617" s="31"/>
      <c r="BV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31"/>
      <c r="BJ618" s="31"/>
      <c r="BK618" s="31"/>
      <c r="BL618" s="31"/>
      <c r="BM618" s="31"/>
      <c r="BN618" s="31"/>
      <c r="BO618" s="31"/>
      <c r="BP618" s="31"/>
      <c r="BQ618" s="31"/>
      <c r="BR618" s="31"/>
      <c r="BS618" s="31"/>
      <c r="BT618" s="31"/>
      <c r="BU618" s="31"/>
      <c r="BV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31"/>
      <c r="BJ619" s="31"/>
      <c r="BK619" s="31"/>
      <c r="BL619" s="31"/>
      <c r="BM619" s="31"/>
      <c r="BN619" s="31"/>
      <c r="BO619" s="31"/>
      <c r="BP619" s="31"/>
      <c r="BQ619" s="31"/>
      <c r="BR619" s="31"/>
      <c r="BS619" s="31"/>
      <c r="BT619" s="31"/>
      <c r="BU619" s="31"/>
      <c r="BV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31"/>
      <c r="BJ620" s="31"/>
      <c r="BK620" s="31"/>
      <c r="BL620" s="31"/>
      <c r="BM620" s="31"/>
      <c r="BN620" s="31"/>
      <c r="BO620" s="31"/>
      <c r="BP620" s="31"/>
      <c r="BQ620" s="31"/>
      <c r="BR620" s="31"/>
      <c r="BS620" s="31"/>
      <c r="BT620" s="31"/>
      <c r="BU620" s="31"/>
      <c r="BV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31"/>
      <c r="BJ621" s="31"/>
      <c r="BK621" s="31"/>
      <c r="BL621" s="31"/>
      <c r="BM621" s="31"/>
      <c r="BN621" s="31"/>
      <c r="BO621" s="31"/>
      <c r="BP621" s="31"/>
      <c r="BQ621" s="31"/>
      <c r="BR621" s="31"/>
      <c r="BS621" s="31"/>
      <c r="BT621" s="31"/>
      <c r="BU621" s="31"/>
      <c r="BV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31"/>
      <c r="BJ622" s="31"/>
      <c r="BK622" s="31"/>
      <c r="BL622" s="31"/>
      <c r="BM622" s="31"/>
      <c r="BN622" s="31"/>
      <c r="BO622" s="31"/>
      <c r="BP622" s="31"/>
      <c r="BQ622" s="31"/>
      <c r="BR622" s="31"/>
      <c r="BS622" s="31"/>
      <c r="BT622" s="31"/>
      <c r="BU622" s="31"/>
      <c r="BV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31"/>
      <c r="BJ623" s="31"/>
      <c r="BK623" s="31"/>
      <c r="BL623" s="31"/>
      <c r="BM623" s="31"/>
      <c r="BN623" s="31"/>
      <c r="BO623" s="31"/>
      <c r="BP623" s="31"/>
      <c r="BQ623" s="31"/>
      <c r="BR623" s="31"/>
      <c r="BS623" s="31"/>
      <c r="BT623" s="31"/>
      <c r="BU623" s="31"/>
      <c r="BV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31"/>
      <c r="BJ624" s="31"/>
      <c r="BK624" s="31"/>
      <c r="BL624" s="31"/>
      <c r="BM624" s="31"/>
      <c r="BN624" s="31"/>
      <c r="BO624" s="31"/>
      <c r="BP624" s="31"/>
      <c r="BQ624" s="31"/>
      <c r="BR624" s="31"/>
      <c r="BS624" s="31"/>
      <c r="BT624" s="31"/>
      <c r="BU624" s="31"/>
      <c r="BV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31"/>
      <c r="BJ625" s="31"/>
      <c r="BK625" s="31"/>
      <c r="BL625" s="31"/>
      <c r="BM625" s="31"/>
      <c r="BN625" s="31"/>
      <c r="BO625" s="31"/>
      <c r="BP625" s="31"/>
      <c r="BQ625" s="31"/>
      <c r="BR625" s="31"/>
      <c r="BS625" s="31"/>
      <c r="BT625" s="31"/>
      <c r="BU625" s="31"/>
      <c r="BV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31"/>
      <c r="BH626" s="31"/>
      <c r="BI626" s="31"/>
      <c r="BJ626" s="31"/>
      <c r="BK626" s="31"/>
      <c r="BL626" s="31"/>
      <c r="BM626" s="31"/>
      <c r="BN626" s="31"/>
      <c r="BO626" s="31"/>
      <c r="BP626" s="31"/>
      <c r="BQ626" s="31"/>
      <c r="BR626" s="31"/>
      <c r="BS626" s="31"/>
      <c r="BT626" s="31"/>
      <c r="BU626" s="31"/>
      <c r="BV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31"/>
      <c r="BJ627" s="31"/>
      <c r="BK627" s="31"/>
      <c r="BL627" s="31"/>
      <c r="BM627" s="31"/>
      <c r="BN627" s="31"/>
      <c r="BO627" s="31"/>
      <c r="BP627" s="31"/>
      <c r="BQ627" s="31"/>
      <c r="BR627" s="31"/>
      <c r="BS627" s="31"/>
      <c r="BT627" s="31"/>
      <c r="BU627" s="31"/>
      <c r="BV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31"/>
      <c r="BJ628" s="31"/>
      <c r="BK628" s="31"/>
      <c r="BL628" s="31"/>
      <c r="BM628" s="31"/>
      <c r="BN628" s="31"/>
      <c r="BO628" s="31"/>
      <c r="BP628" s="31"/>
      <c r="BQ628" s="31"/>
      <c r="BR628" s="31"/>
      <c r="BS628" s="31"/>
      <c r="BT628" s="31"/>
      <c r="BU628" s="31"/>
      <c r="BV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31"/>
      <c r="BJ629" s="31"/>
      <c r="BK629" s="31"/>
      <c r="BL629" s="31"/>
      <c r="BM629" s="31"/>
      <c r="BN629" s="31"/>
      <c r="BO629" s="31"/>
      <c r="BP629" s="31"/>
      <c r="BQ629" s="31"/>
      <c r="BR629" s="31"/>
      <c r="BS629" s="31"/>
      <c r="BT629" s="31"/>
      <c r="BU629" s="31"/>
      <c r="BV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31"/>
      <c r="BJ630" s="31"/>
      <c r="BK630" s="31"/>
      <c r="BL630" s="31"/>
      <c r="BM630" s="31"/>
      <c r="BN630" s="31"/>
      <c r="BO630" s="31"/>
      <c r="BP630" s="31"/>
      <c r="BQ630" s="31"/>
      <c r="BR630" s="31"/>
      <c r="BS630" s="31"/>
      <c r="BT630" s="31"/>
      <c r="BU630" s="31"/>
      <c r="BV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31"/>
      <c r="BJ631" s="31"/>
      <c r="BK631" s="31"/>
      <c r="BL631" s="31"/>
      <c r="BM631" s="31"/>
      <c r="BN631" s="31"/>
      <c r="BO631" s="31"/>
      <c r="BP631" s="31"/>
      <c r="BQ631" s="31"/>
      <c r="BR631" s="31"/>
      <c r="BS631" s="31"/>
      <c r="BT631" s="31"/>
      <c r="BU631" s="31"/>
      <c r="BV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31"/>
      <c r="BH632" s="31"/>
      <c r="BI632" s="31"/>
      <c r="BJ632" s="31"/>
      <c r="BK632" s="31"/>
      <c r="BL632" s="31"/>
      <c r="BM632" s="31"/>
      <c r="BN632" s="31"/>
      <c r="BO632" s="31"/>
      <c r="BP632" s="31"/>
      <c r="BQ632" s="31"/>
      <c r="BR632" s="31"/>
      <c r="BS632" s="31"/>
      <c r="BT632" s="31"/>
      <c r="BU632" s="31"/>
      <c r="BV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31"/>
      <c r="BH633" s="31"/>
      <c r="BI633" s="31"/>
      <c r="BJ633" s="31"/>
      <c r="BK633" s="31"/>
      <c r="BL633" s="31"/>
      <c r="BM633" s="31"/>
      <c r="BN633" s="31"/>
      <c r="BO633" s="31"/>
      <c r="BP633" s="31"/>
      <c r="BQ633" s="31"/>
      <c r="BR633" s="31"/>
      <c r="BS633" s="31"/>
      <c r="BT633" s="31"/>
      <c r="BU633" s="31"/>
      <c r="BV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31"/>
      <c r="BJ634" s="31"/>
      <c r="BK634" s="31"/>
      <c r="BL634" s="31"/>
      <c r="BM634" s="31"/>
      <c r="BN634" s="31"/>
      <c r="BO634" s="31"/>
      <c r="BP634" s="31"/>
      <c r="BQ634" s="31"/>
      <c r="BR634" s="31"/>
      <c r="BS634" s="31"/>
      <c r="BT634" s="31"/>
      <c r="BU634" s="31"/>
      <c r="BV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31"/>
      <c r="BJ635" s="31"/>
      <c r="BK635" s="31"/>
      <c r="BL635" s="31"/>
      <c r="BM635" s="31"/>
      <c r="BN635" s="31"/>
      <c r="BO635" s="31"/>
      <c r="BP635" s="31"/>
      <c r="BQ635" s="31"/>
      <c r="BR635" s="31"/>
      <c r="BS635" s="31"/>
      <c r="BT635" s="31"/>
      <c r="BU635" s="31"/>
      <c r="BV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31"/>
      <c r="BJ636" s="31"/>
      <c r="BK636" s="31"/>
      <c r="BL636" s="31"/>
      <c r="BM636" s="31"/>
      <c r="BN636" s="31"/>
      <c r="BO636" s="31"/>
      <c r="BP636" s="31"/>
      <c r="BQ636" s="31"/>
      <c r="BR636" s="31"/>
      <c r="BS636" s="31"/>
      <c r="BT636" s="31"/>
      <c r="BU636" s="31"/>
      <c r="BV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31"/>
      <c r="BJ637" s="31"/>
      <c r="BK637" s="31"/>
      <c r="BL637" s="31"/>
      <c r="BM637" s="31"/>
      <c r="BN637" s="31"/>
      <c r="BO637" s="31"/>
      <c r="BP637" s="31"/>
      <c r="BQ637" s="31"/>
      <c r="BR637" s="31"/>
      <c r="BS637" s="31"/>
      <c r="BT637" s="31"/>
      <c r="BU637" s="31"/>
      <c r="BV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31"/>
      <c r="BH638" s="31"/>
      <c r="BI638" s="31"/>
      <c r="BJ638" s="31"/>
      <c r="BK638" s="31"/>
      <c r="BL638" s="31"/>
      <c r="BM638" s="31"/>
      <c r="BN638" s="31"/>
      <c r="BO638" s="31"/>
      <c r="BP638" s="31"/>
      <c r="BQ638" s="31"/>
      <c r="BR638" s="31"/>
      <c r="BS638" s="31"/>
      <c r="BT638" s="31"/>
      <c r="BU638" s="31"/>
      <c r="BV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31"/>
      <c r="BJ639" s="31"/>
      <c r="BK639" s="31"/>
      <c r="BL639" s="31"/>
      <c r="BM639" s="31"/>
      <c r="BN639" s="31"/>
      <c r="BO639" s="31"/>
      <c r="BP639" s="31"/>
      <c r="BQ639" s="31"/>
      <c r="BR639" s="31"/>
      <c r="BS639" s="31"/>
      <c r="BT639" s="31"/>
      <c r="BU639" s="31"/>
      <c r="BV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31"/>
      <c r="BJ640" s="31"/>
      <c r="BK640" s="31"/>
      <c r="BL640" s="31"/>
      <c r="BM640" s="31"/>
      <c r="BN640" s="31"/>
      <c r="BO640" s="31"/>
      <c r="BP640" s="31"/>
      <c r="BQ640" s="31"/>
      <c r="BR640" s="31"/>
      <c r="BS640" s="31"/>
      <c r="BT640" s="31"/>
      <c r="BU640" s="31"/>
      <c r="BV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31"/>
      <c r="BH641" s="31"/>
      <c r="BI641" s="31"/>
      <c r="BJ641" s="31"/>
      <c r="BK641" s="31"/>
      <c r="BL641" s="31"/>
      <c r="BM641" s="31"/>
      <c r="BN641" s="31"/>
      <c r="BO641" s="31"/>
      <c r="BP641" s="31"/>
      <c r="BQ641" s="31"/>
      <c r="BR641" s="31"/>
      <c r="BS641" s="31"/>
      <c r="BT641" s="31"/>
      <c r="BU641" s="31"/>
      <c r="BV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31"/>
      <c r="BJ642" s="31"/>
      <c r="BK642" s="31"/>
      <c r="BL642" s="31"/>
      <c r="BM642" s="31"/>
      <c r="BN642" s="31"/>
      <c r="BO642" s="31"/>
      <c r="BP642" s="31"/>
      <c r="BQ642" s="31"/>
      <c r="BR642" s="31"/>
      <c r="BS642" s="31"/>
      <c r="BT642" s="31"/>
      <c r="BU642" s="31"/>
      <c r="BV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31"/>
      <c r="BJ643" s="31"/>
      <c r="BK643" s="31"/>
      <c r="BL643" s="31"/>
      <c r="BM643" s="31"/>
      <c r="BN643" s="31"/>
      <c r="BO643" s="31"/>
      <c r="BP643" s="31"/>
      <c r="BQ643" s="31"/>
      <c r="BR643" s="31"/>
      <c r="BS643" s="31"/>
      <c r="BT643" s="31"/>
      <c r="BU643" s="31"/>
      <c r="BV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31"/>
      <c r="BJ644" s="31"/>
      <c r="BK644" s="31"/>
      <c r="BL644" s="31"/>
      <c r="BM644" s="31"/>
      <c r="BN644" s="31"/>
      <c r="BO644" s="31"/>
      <c r="BP644" s="31"/>
      <c r="BQ644" s="31"/>
      <c r="BR644" s="31"/>
      <c r="BS644" s="31"/>
      <c r="BT644" s="31"/>
      <c r="BU644" s="31"/>
      <c r="BV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31"/>
      <c r="BJ645" s="31"/>
      <c r="BK645" s="31"/>
      <c r="BL645" s="31"/>
      <c r="BM645" s="31"/>
      <c r="BN645" s="31"/>
      <c r="BO645" s="31"/>
      <c r="BP645" s="31"/>
      <c r="BQ645" s="31"/>
      <c r="BR645" s="31"/>
      <c r="BS645" s="31"/>
      <c r="BT645" s="31"/>
      <c r="BU645" s="31"/>
      <c r="BV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31"/>
      <c r="BH646" s="31"/>
      <c r="BI646" s="31"/>
      <c r="BJ646" s="31"/>
      <c r="BK646" s="31"/>
      <c r="BL646" s="31"/>
      <c r="BM646" s="31"/>
      <c r="BN646" s="31"/>
      <c r="BO646" s="31"/>
      <c r="BP646" s="31"/>
      <c r="BQ646" s="31"/>
      <c r="BR646" s="31"/>
      <c r="BS646" s="31"/>
      <c r="BT646" s="31"/>
      <c r="BU646" s="31"/>
      <c r="BV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31"/>
      <c r="BJ647" s="31"/>
      <c r="BK647" s="31"/>
      <c r="BL647" s="31"/>
      <c r="BM647" s="31"/>
      <c r="BN647" s="31"/>
      <c r="BO647" s="31"/>
      <c r="BP647" s="31"/>
      <c r="BQ647" s="31"/>
      <c r="BR647" s="31"/>
      <c r="BS647" s="31"/>
      <c r="BT647" s="31"/>
      <c r="BU647" s="31"/>
      <c r="BV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31"/>
      <c r="BH648" s="31"/>
      <c r="BI648" s="31"/>
      <c r="BJ648" s="31"/>
      <c r="BK648" s="31"/>
      <c r="BL648" s="31"/>
      <c r="BM648" s="31"/>
      <c r="BN648" s="31"/>
      <c r="BO648" s="31"/>
      <c r="BP648" s="31"/>
      <c r="BQ648" s="31"/>
      <c r="BR648" s="31"/>
      <c r="BS648" s="31"/>
      <c r="BT648" s="31"/>
      <c r="BU648" s="31"/>
      <c r="BV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31"/>
      <c r="BJ649" s="31"/>
      <c r="BK649" s="31"/>
      <c r="BL649" s="31"/>
      <c r="BM649" s="31"/>
      <c r="BN649" s="31"/>
      <c r="BO649" s="31"/>
      <c r="BP649" s="31"/>
      <c r="BQ649" s="31"/>
      <c r="BR649" s="31"/>
      <c r="BS649" s="31"/>
      <c r="BT649" s="31"/>
      <c r="BU649" s="31"/>
      <c r="BV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31"/>
      <c r="BJ650" s="31"/>
      <c r="BK650" s="31"/>
      <c r="BL650" s="31"/>
      <c r="BM650" s="31"/>
      <c r="BN650" s="31"/>
      <c r="BO650" s="31"/>
      <c r="BP650" s="31"/>
      <c r="BQ650" s="31"/>
      <c r="BR650" s="31"/>
      <c r="BS650" s="31"/>
      <c r="BT650" s="31"/>
      <c r="BU650" s="31"/>
      <c r="BV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31"/>
      <c r="BJ651" s="31"/>
      <c r="BK651" s="31"/>
      <c r="BL651" s="31"/>
      <c r="BM651" s="31"/>
      <c r="BN651" s="31"/>
      <c r="BO651" s="31"/>
      <c r="BP651" s="31"/>
      <c r="BQ651" s="31"/>
      <c r="BR651" s="31"/>
      <c r="BS651" s="31"/>
      <c r="BT651" s="31"/>
      <c r="BU651" s="31"/>
      <c r="BV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31"/>
      <c r="BJ652" s="31"/>
      <c r="BK652" s="31"/>
      <c r="BL652" s="31"/>
      <c r="BM652" s="31"/>
      <c r="BN652" s="31"/>
      <c r="BO652" s="31"/>
      <c r="BP652" s="31"/>
      <c r="BQ652" s="31"/>
      <c r="BR652" s="31"/>
      <c r="BS652" s="31"/>
      <c r="BT652" s="31"/>
      <c r="BU652" s="31"/>
      <c r="BV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31"/>
      <c r="BJ653" s="31"/>
      <c r="BK653" s="31"/>
      <c r="BL653" s="31"/>
      <c r="BM653" s="31"/>
      <c r="BN653" s="31"/>
      <c r="BO653" s="31"/>
      <c r="BP653" s="31"/>
      <c r="BQ653" s="31"/>
      <c r="BR653" s="31"/>
      <c r="BS653" s="31"/>
      <c r="BT653" s="31"/>
      <c r="BU653" s="31"/>
      <c r="BV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31"/>
      <c r="BJ654" s="31"/>
      <c r="BK654" s="31"/>
      <c r="BL654" s="31"/>
      <c r="BM654" s="31"/>
      <c r="BN654" s="31"/>
      <c r="BO654" s="31"/>
      <c r="BP654" s="31"/>
      <c r="BQ654" s="31"/>
      <c r="BR654" s="31"/>
      <c r="BS654" s="31"/>
      <c r="BT654" s="31"/>
      <c r="BU654" s="31"/>
      <c r="BV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31"/>
      <c r="BJ655" s="31"/>
      <c r="BK655" s="31"/>
      <c r="BL655" s="31"/>
      <c r="BM655" s="31"/>
      <c r="BN655" s="31"/>
      <c r="BO655" s="31"/>
      <c r="BP655" s="31"/>
      <c r="BQ655" s="31"/>
      <c r="BR655" s="31"/>
      <c r="BS655" s="31"/>
      <c r="BT655" s="31"/>
      <c r="BU655" s="31"/>
      <c r="BV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1"/>
      <c r="BE656" s="31"/>
      <c r="BF656" s="31"/>
      <c r="BG656" s="31"/>
      <c r="BH656" s="31"/>
      <c r="BI656" s="31"/>
      <c r="BJ656" s="31"/>
      <c r="BK656" s="31"/>
      <c r="BL656" s="31"/>
      <c r="BM656" s="31"/>
      <c r="BN656" s="31"/>
      <c r="BO656" s="31"/>
      <c r="BP656" s="31"/>
      <c r="BQ656" s="31"/>
      <c r="BR656" s="31"/>
      <c r="BS656" s="31"/>
      <c r="BT656" s="31"/>
      <c r="BU656" s="31"/>
      <c r="BV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31"/>
      <c r="BJ657" s="31"/>
      <c r="BK657" s="31"/>
      <c r="BL657" s="31"/>
      <c r="BM657" s="31"/>
      <c r="BN657" s="31"/>
      <c r="BO657" s="31"/>
      <c r="BP657" s="31"/>
      <c r="BQ657" s="31"/>
      <c r="BR657" s="31"/>
      <c r="BS657" s="31"/>
      <c r="BT657" s="31"/>
      <c r="BU657" s="31"/>
      <c r="BV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31"/>
      <c r="BH658" s="31"/>
      <c r="BI658" s="31"/>
      <c r="BJ658" s="31"/>
      <c r="BK658" s="31"/>
      <c r="BL658" s="31"/>
      <c r="BM658" s="31"/>
      <c r="BN658" s="31"/>
      <c r="BO658" s="31"/>
      <c r="BP658" s="31"/>
      <c r="BQ658" s="31"/>
      <c r="BR658" s="31"/>
      <c r="BS658" s="31"/>
      <c r="BT658" s="31"/>
      <c r="BU658" s="31"/>
      <c r="BV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31"/>
      <c r="BH659" s="31"/>
      <c r="BI659" s="31"/>
      <c r="BJ659" s="31"/>
      <c r="BK659" s="31"/>
      <c r="BL659" s="31"/>
      <c r="BM659" s="31"/>
      <c r="BN659" s="31"/>
      <c r="BO659" s="31"/>
      <c r="BP659" s="31"/>
      <c r="BQ659" s="31"/>
      <c r="BR659" s="31"/>
      <c r="BS659" s="31"/>
      <c r="BT659" s="31"/>
      <c r="BU659" s="31"/>
      <c r="BV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31"/>
      <c r="BH660" s="31"/>
      <c r="BI660" s="31"/>
      <c r="BJ660" s="31"/>
      <c r="BK660" s="31"/>
      <c r="BL660" s="31"/>
      <c r="BM660" s="31"/>
      <c r="BN660" s="31"/>
      <c r="BO660" s="31"/>
      <c r="BP660" s="31"/>
      <c r="BQ660" s="31"/>
      <c r="BR660" s="31"/>
      <c r="BS660" s="31"/>
      <c r="BT660" s="31"/>
      <c r="BU660" s="31"/>
      <c r="BV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31"/>
      <c r="BJ661" s="31"/>
      <c r="BK661" s="31"/>
      <c r="BL661" s="31"/>
      <c r="BM661" s="31"/>
      <c r="BN661" s="31"/>
      <c r="BO661" s="31"/>
      <c r="BP661" s="31"/>
      <c r="BQ661" s="31"/>
      <c r="BR661" s="31"/>
      <c r="BS661" s="31"/>
      <c r="BT661" s="31"/>
      <c r="BU661" s="31"/>
      <c r="BV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31"/>
      <c r="BH662" s="31"/>
      <c r="BI662" s="31"/>
      <c r="BJ662" s="31"/>
      <c r="BK662" s="31"/>
      <c r="BL662" s="31"/>
      <c r="BM662" s="31"/>
      <c r="BN662" s="31"/>
      <c r="BO662" s="31"/>
      <c r="BP662" s="31"/>
      <c r="BQ662" s="31"/>
      <c r="BR662" s="31"/>
      <c r="BS662" s="31"/>
      <c r="BT662" s="31"/>
      <c r="BU662" s="31"/>
      <c r="BV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31"/>
      <c r="BJ663" s="31"/>
      <c r="BK663" s="31"/>
      <c r="BL663" s="31"/>
      <c r="BM663" s="31"/>
      <c r="BN663" s="31"/>
      <c r="BO663" s="31"/>
      <c r="BP663" s="31"/>
      <c r="BQ663" s="31"/>
      <c r="BR663" s="31"/>
      <c r="BS663" s="31"/>
      <c r="BT663" s="31"/>
      <c r="BU663" s="31"/>
      <c r="BV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31"/>
      <c r="BJ664" s="31"/>
      <c r="BK664" s="31"/>
      <c r="BL664" s="31"/>
      <c r="BM664" s="31"/>
      <c r="BN664" s="31"/>
      <c r="BO664" s="31"/>
      <c r="BP664" s="31"/>
      <c r="BQ664" s="31"/>
      <c r="BR664" s="31"/>
      <c r="BS664" s="31"/>
      <c r="BT664" s="31"/>
      <c r="BU664" s="31"/>
      <c r="BV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31"/>
      <c r="BJ665" s="31"/>
      <c r="BK665" s="31"/>
      <c r="BL665" s="31"/>
      <c r="BM665" s="31"/>
      <c r="BN665" s="31"/>
      <c r="BO665" s="31"/>
      <c r="BP665" s="31"/>
      <c r="BQ665" s="31"/>
      <c r="BR665" s="31"/>
      <c r="BS665" s="31"/>
      <c r="BT665" s="31"/>
      <c r="BU665" s="31"/>
      <c r="BV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31"/>
      <c r="BJ666" s="31"/>
      <c r="BK666" s="31"/>
      <c r="BL666" s="31"/>
      <c r="BM666" s="31"/>
      <c r="BN666" s="31"/>
      <c r="BO666" s="31"/>
      <c r="BP666" s="31"/>
      <c r="BQ666" s="31"/>
      <c r="BR666" s="31"/>
      <c r="BS666" s="31"/>
      <c r="BT666" s="31"/>
      <c r="BU666" s="31"/>
      <c r="BV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31"/>
      <c r="BH667" s="31"/>
      <c r="BI667" s="31"/>
      <c r="BJ667" s="31"/>
      <c r="BK667" s="31"/>
      <c r="BL667" s="31"/>
      <c r="BM667" s="31"/>
      <c r="BN667" s="31"/>
      <c r="BO667" s="31"/>
      <c r="BP667" s="31"/>
      <c r="BQ667" s="31"/>
      <c r="BR667" s="31"/>
      <c r="BS667" s="31"/>
      <c r="BT667" s="31"/>
      <c r="BU667" s="31"/>
      <c r="BV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31"/>
      <c r="BH668" s="31"/>
      <c r="BI668" s="31"/>
      <c r="BJ668" s="31"/>
      <c r="BK668" s="31"/>
      <c r="BL668" s="31"/>
      <c r="BM668" s="31"/>
      <c r="BN668" s="31"/>
      <c r="BO668" s="31"/>
      <c r="BP668" s="31"/>
      <c r="BQ668" s="31"/>
      <c r="BR668" s="31"/>
      <c r="BS668" s="31"/>
      <c r="BT668" s="31"/>
      <c r="BU668" s="31"/>
      <c r="BV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31"/>
      <c r="BJ669" s="31"/>
      <c r="BK669" s="31"/>
      <c r="BL669" s="31"/>
      <c r="BM669" s="31"/>
      <c r="BN669" s="31"/>
      <c r="BO669" s="31"/>
      <c r="BP669" s="31"/>
      <c r="BQ669" s="31"/>
      <c r="BR669" s="31"/>
      <c r="BS669" s="31"/>
      <c r="BT669" s="31"/>
      <c r="BU669" s="31"/>
      <c r="BV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31"/>
      <c r="BJ670" s="31"/>
      <c r="BK670" s="31"/>
      <c r="BL670" s="31"/>
      <c r="BM670" s="31"/>
      <c r="BN670" s="31"/>
      <c r="BO670" s="31"/>
      <c r="BP670" s="31"/>
      <c r="BQ670" s="31"/>
      <c r="BR670" s="31"/>
      <c r="BS670" s="31"/>
      <c r="BT670" s="31"/>
      <c r="BU670" s="31"/>
      <c r="BV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31"/>
      <c r="BH671" s="31"/>
      <c r="BI671" s="31"/>
      <c r="BJ671" s="31"/>
      <c r="BK671" s="31"/>
      <c r="BL671" s="31"/>
      <c r="BM671" s="31"/>
      <c r="BN671" s="31"/>
      <c r="BO671" s="31"/>
      <c r="BP671" s="31"/>
      <c r="BQ671" s="31"/>
      <c r="BR671" s="31"/>
      <c r="BS671" s="31"/>
      <c r="BT671" s="31"/>
      <c r="BU671" s="31"/>
      <c r="BV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1"/>
      <c r="BL672" s="31"/>
      <c r="BM672" s="31"/>
      <c r="BN672" s="31"/>
      <c r="BO672" s="31"/>
      <c r="BP672" s="31"/>
      <c r="BQ672" s="31"/>
      <c r="BR672" s="31"/>
      <c r="BS672" s="31"/>
      <c r="BT672" s="31"/>
      <c r="BU672" s="31"/>
      <c r="BV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c r="BO673" s="31"/>
      <c r="BP673" s="31"/>
      <c r="BQ673" s="31"/>
      <c r="BR673" s="31"/>
      <c r="BS673" s="31"/>
      <c r="BT673" s="31"/>
      <c r="BU673" s="31"/>
      <c r="BV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31"/>
      <c r="BJ674" s="31"/>
      <c r="BK674" s="31"/>
      <c r="BL674" s="31"/>
      <c r="BM674" s="31"/>
      <c r="BN674" s="31"/>
      <c r="BO674" s="31"/>
      <c r="BP674" s="31"/>
      <c r="BQ674" s="31"/>
      <c r="BR674" s="31"/>
      <c r="BS674" s="31"/>
      <c r="BT674" s="31"/>
      <c r="BU674" s="31"/>
      <c r="BV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c r="BO675" s="31"/>
      <c r="BP675" s="31"/>
      <c r="BQ675" s="31"/>
      <c r="BR675" s="31"/>
      <c r="BS675" s="31"/>
      <c r="BT675" s="31"/>
      <c r="BU675" s="31"/>
      <c r="BV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31"/>
      <c r="BJ676" s="31"/>
      <c r="BK676" s="31"/>
      <c r="BL676" s="31"/>
      <c r="BM676" s="31"/>
      <c r="BN676" s="31"/>
      <c r="BO676" s="31"/>
      <c r="BP676" s="31"/>
      <c r="BQ676" s="31"/>
      <c r="BR676" s="31"/>
      <c r="BS676" s="31"/>
      <c r="BT676" s="31"/>
      <c r="BU676" s="31"/>
      <c r="BV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c r="BO677" s="31"/>
      <c r="BP677" s="31"/>
      <c r="BQ677" s="31"/>
      <c r="BR677" s="31"/>
      <c r="BS677" s="31"/>
      <c r="BT677" s="31"/>
      <c r="BU677" s="31"/>
      <c r="BV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31"/>
      <c r="BJ678" s="31"/>
      <c r="BK678" s="31"/>
      <c r="BL678" s="31"/>
      <c r="BM678" s="31"/>
      <c r="BN678" s="31"/>
      <c r="BO678" s="31"/>
      <c r="BP678" s="31"/>
      <c r="BQ678" s="31"/>
      <c r="BR678" s="31"/>
      <c r="BS678" s="31"/>
      <c r="BT678" s="31"/>
      <c r="BU678" s="31"/>
      <c r="BV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c r="BO679" s="31"/>
      <c r="BP679" s="31"/>
      <c r="BQ679" s="31"/>
      <c r="BR679" s="31"/>
      <c r="BS679" s="31"/>
      <c r="BT679" s="31"/>
      <c r="BU679" s="31"/>
      <c r="BV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31"/>
      <c r="BH680" s="31"/>
      <c r="BI680" s="31"/>
      <c r="BJ680" s="31"/>
      <c r="BK680" s="31"/>
      <c r="BL680" s="31"/>
      <c r="BM680" s="31"/>
      <c r="BN680" s="31"/>
      <c r="BO680" s="31"/>
      <c r="BP680" s="31"/>
      <c r="BQ680" s="31"/>
      <c r="BR680" s="31"/>
      <c r="BS680" s="31"/>
      <c r="BT680" s="31"/>
      <c r="BU680" s="31"/>
      <c r="BV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c r="BO681" s="31"/>
      <c r="BP681" s="31"/>
      <c r="BQ681" s="31"/>
      <c r="BR681" s="31"/>
      <c r="BS681" s="31"/>
      <c r="BT681" s="31"/>
      <c r="BU681" s="31"/>
      <c r="BV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1"/>
      <c r="BL682" s="31"/>
      <c r="BM682" s="31"/>
      <c r="BN682" s="31"/>
      <c r="BO682" s="31"/>
      <c r="BP682" s="31"/>
      <c r="BQ682" s="31"/>
      <c r="BR682" s="31"/>
      <c r="BS682" s="31"/>
      <c r="BT682" s="31"/>
      <c r="BU682" s="31"/>
      <c r="BV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c r="BO683" s="31"/>
      <c r="BP683" s="31"/>
      <c r="BQ683" s="31"/>
      <c r="BR683" s="31"/>
      <c r="BS683" s="31"/>
      <c r="BT683" s="31"/>
      <c r="BU683" s="31"/>
      <c r="BV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1"/>
      <c r="BL684" s="31"/>
      <c r="BM684" s="31"/>
      <c r="BN684" s="31"/>
      <c r="BO684" s="31"/>
      <c r="BP684" s="31"/>
      <c r="BQ684" s="31"/>
      <c r="BR684" s="31"/>
      <c r="BS684" s="31"/>
      <c r="BT684" s="31"/>
      <c r="BU684" s="31"/>
      <c r="BV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c r="BO685" s="31"/>
      <c r="BP685" s="31"/>
      <c r="BQ685" s="31"/>
      <c r="BR685" s="31"/>
      <c r="BS685" s="31"/>
      <c r="BT685" s="31"/>
      <c r="BU685" s="31"/>
      <c r="BV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1"/>
      <c r="BL686" s="31"/>
      <c r="BM686" s="31"/>
      <c r="BN686" s="31"/>
      <c r="BO686" s="31"/>
      <c r="BP686" s="31"/>
      <c r="BQ686" s="31"/>
      <c r="BR686" s="31"/>
      <c r="BS686" s="31"/>
      <c r="BT686" s="31"/>
      <c r="BU686" s="31"/>
      <c r="BV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c r="BO687" s="31"/>
      <c r="BP687" s="31"/>
      <c r="BQ687" s="31"/>
      <c r="BR687" s="31"/>
      <c r="BS687" s="31"/>
      <c r="BT687" s="31"/>
      <c r="BU687" s="31"/>
      <c r="BV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31"/>
      <c r="BH688" s="31"/>
      <c r="BI688" s="31"/>
      <c r="BJ688" s="31"/>
      <c r="BK688" s="31"/>
      <c r="BL688" s="31"/>
      <c r="BM688" s="31"/>
      <c r="BN688" s="31"/>
      <c r="BO688" s="31"/>
      <c r="BP688" s="31"/>
      <c r="BQ688" s="31"/>
      <c r="BR688" s="31"/>
      <c r="BS688" s="31"/>
      <c r="BT688" s="31"/>
      <c r="BU688" s="31"/>
      <c r="BV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c r="BO689" s="31"/>
      <c r="BP689" s="31"/>
      <c r="BQ689" s="31"/>
      <c r="BR689" s="31"/>
      <c r="BS689" s="31"/>
      <c r="BT689" s="31"/>
      <c r="BU689" s="31"/>
      <c r="BV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31"/>
      <c r="BJ690" s="31"/>
      <c r="BK690" s="31"/>
      <c r="BL690" s="31"/>
      <c r="BM690" s="31"/>
      <c r="BN690" s="31"/>
      <c r="BO690" s="31"/>
      <c r="BP690" s="31"/>
      <c r="BQ690" s="31"/>
      <c r="BR690" s="31"/>
      <c r="BS690" s="31"/>
      <c r="BT690" s="31"/>
      <c r="BU690" s="31"/>
      <c r="BV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c r="BO691" s="31"/>
      <c r="BP691" s="31"/>
      <c r="BQ691" s="31"/>
      <c r="BR691" s="31"/>
      <c r="BS691" s="31"/>
      <c r="BT691" s="31"/>
      <c r="BU691" s="31"/>
      <c r="BV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31"/>
      <c r="BJ692" s="31"/>
      <c r="BK692" s="31"/>
      <c r="BL692" s="31"/>
      <c r="BM692" s="31"/>
      <c r="BN692" s="31"/>
      <c r="BO692" s="31"/>
      <c r="BP692" s="31"/>
      <c r="BQ692" s="31"/>
      <c r="BR692" s="31"/>
      <c r="BS692" s="31"/>
      <c r="BT692" s="31"/>
      <c r="BU692" s="31"/>
      <c r="BV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c r="BO693" s="31"/>
      <c r="BP693" s="31"/>
      <c r="BQ693" s="31"/>
      <c r="BR693" s="31"/>
      <c r="BS693" s="31"/>
      <c r="BT693" s="31"/>
      <c r="BU693" s="31"/>
      <c r="BV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31"/>
      <c r="BJ694" s="31"/>
      <c r="BK694" s="31"/>
      <c r="BL694" s="31"/>
      <c r="BM694" s="31"/>
      <c r="BN694" s="31"/>
      <c r="BO694" s="31"/>
      <c r="BP694" s="31"/>
      <c r="BQ694" s="31"/>
      <c r="BR694" s="31"/>
      <c r="BS694" s="31"/>
      <c r="BT694" s="31"/>
      <c r="BU694" s="31"/>
      <c r="BV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c r="BO695" s="31"/>
      <c r="BP695" s="31"/>
      <c r="BQ695" s="31"/>
      <c r="BR695" s="31"/>
      <c r="BS695" s="31"/>
      <c r="BT695" s="31"/>
      <c r="BU695" s="31"/>
      <c r="BV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31"/>
      <c r="BJ696" s="31"/>
      <c r="BK696" s="31"/>
      <c r="BL696" s="31"/>
      <c r="BM696" s="31"/>
      <c r="BN696" s="31"/>
      <c r="BO696" s="31"/>
      <c r="BP696" s="31"/>
      <c r="BQ696" s="31"/>
      <c r="BR696" s="31"/>
      <c r="BS696" s="31"/>
      <c r="BT696" s="31"/>
      <c r="BU696" s="31"/>
      <c r="BV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c r="BO697" s="31"/>
      <c r="BP697" s="31"/>
      <c r="BQ697" s="31"/>
      <c r="BR697" s="31"/>
      <c r="BS697" s="31"/>
      <c r="BT697" s="31"/>
      <c r="BU697" s="31"/>
      <c r="BV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31"/>
      <c r="BH698" s="31"/>
      <c r="BI698" s="31"/>
      <c r="BJ698" s="31"/>
      <c r="BK698" s="31"/>
      <c r="BL698" s="31"/>
      <c r="BM698" s="31"/>
      <c r="BN698" s="31"/>
      <c r="BO698" s="31"/>
      <c r="BP698" s="31"/>
      <c r="BQ698" s="31"/>
      <c r="BR698" s="31"/>
      <c r="BS698" s="31"/>
      <c r="BT698" s="31"/>
      <c r="BU698" s="31"/>
      <c r="BV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31"/>
      <c r="BJ699" s="31"/>
      <c r="BK699" s="31"/>
      <c r="BL699" s="31"/>
      <c r="BM699" s="31"/>
      <c r="BN699" s="31"/>
      <c r="BO699" s="31"/>
      <c r="BP699" s="31"/>
      <c r="BQ699" s="31"/>
      <c r="BR699" s="31"/>
      <c r="BS699" s="31"/>
      <c r="BT699" s="31"/>
      <c r="BU699" s="31"/>
      <c r="BV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31"/>
      <c r="BH700" s="31"/>
      <c r="BI700" s="31"/>
      <c r="BJ700" s="31"/>
      <c r="BK700" s="31"/>
      <c r="BL700" s="31"/>
      <c r="BM700" s="31"/>
      <c r="BN700" s="31"/>
      <c r="BO700" s="31"/>
      <c r="BP700" s="31"/>
      <c r="BQ700" s="31"/>
      <c r="BR700" s="31"/>
      <c r="BS700" s="31"/>
      <c r="BT700" s="31"/>
      <c r="BU700" s="31"/>
      <c r="BV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31"/>
      <c r="BJ701" s="31"/>
      <c r="BK701" s="31"/>
      <c r="BL701" s="31"/>
      <c r="BM701" s="31"/>
      <c r="BN701" s="31"/>
      <c r="BO701" s="31"/>
      <c r="BP701" s="31"/>
      <c r="BQ701" s="31"/>
      <c r="BR701" s="31"/>
      <c r="BS701" s="31"/>
      <c r="BT701" s="31"/>
      <c r="BU701" s="31"/>
      <c r="BV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31"/>
      <c r="BJ702" s="31"/>
      <c r="BK702" s="31"/>
      <c r="BL702" s="31"/>
      <c r="BM702" s="31"/>
      <c r="BN702" s="31"/>
      <c r="BO702" s="31"/>
      <c r="BP702" s="31"/>
      <c r="BQ702" s="31"/>
      <c r="BR702" s="31"/>
      <c r="BS702" s="31"/>
      <c r="BT702" s="31"/>
      <c r="BU702" s="31"/>
      <c r="BV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31"/>
      <c r="BJ703" s="31"/>
      <c r="BK703" s="31"/>
      <c r="BL703" s="31"/>
      <c r="BM703" s="31"/>
      <c r="BN703" s="31"/>
      <c r="BO703" s="31"/>
      <c r="BP703" s="31"/>
      <c r="BQ703" s="31"/>
      <c r="BR703" s="31"/>
      <c r="BS703" s="31"/>
      <c r="BT703" s="31"/>
      <c r="BU703" s="31"/>
      <c r="BV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31"/>
      <c r="BJ704" s="31"/>
      <c r="BK704" s="31"/>
      <c r="BL704" s="31"/>
      <c r="BM704" s="31"/>
      <c r="BN704" s="31"/>
      <c r="BO704" s="31"/>
      <c r="BP704" s="31"/>
      <c r="BQ704" s="31"/>
      <c r="BR704" s="31"/>
      <c r="BS704" s="31"/>
      <c r="BT704" s="31"/>
      <c r="BU704" s="31"/>
      <c r="BV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31"/>
      <c r="BH705" s="31"/>
      <c r="BI705" s="31"/>
      <c r="BJ705" s="31"/>
      <c r="BK705" s="31"/>
      <c r="BL705" s="31"/>
      <c r="BM705" s="31"/>
      <c r="BN705" s="31"/>
      <c r="BO705" s="31"/>
      <c r="BP705" s="31"/>
      <c r="BQ705" s="31"/>
      <c r="BR705" s="31"/>
      <c r="BS705" s="31"/>
      <c r="BT705" s="31"/>
      <c r="BU705" s="31"/>
      <c r="BV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31"/>
      <c r="BJ706" s="31"/>
      <c r="BK706" s="31"/>
      <c r="BL706" s="31"/>
      <c r="BM706" s="31"/>
      <c r="BN706" s="31"/>
      <c r="BO706" s="31"/>
      <c r="BP706" s="31"/>
      <c r="BQ706" s="31"/>
      <c r="BR706" s="31"/>
      <c r="BS706" s="31"/>
      <c r="BT706" s="31"/>
      <c r="BU706" s="31"/>
      <c r="BV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31"/>
      <c r="BJ707" s="31"/>
      <c r="BK707" s="31"/>
      <c r="BL707" s="31"/>
      <c r="BM707" s="31"/>
      <c r="BN707" s="31"/>
      <c r="BO707" s="31"/>
      <c r="BP707" s="31"/>
      <c r="BQ707" s="31"/>
      <c r="BR707" s="31"/>
      <c r="BS707" s="31"/>
      <c r="BT707" s="31"/>
      <c r="BU707" s="31"/>
      <c r="BV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31"/>
      <c r="BJ708" s="31"/>
      <c r="BK708" s="31"/>
      <c r="BL708" s="31"/>
      <c r="BM708" s="31"/>
      <c r="BN708" s="31"/>
      <c r="BO708" s="31"/>
      <c r="BP708" s="31"/>
      <c r="BQ708" s="31"/>
      <c r="BR708" s="31"/>
      <c r="BS708" s="31"/>
      <c r="BT708" s="31"/>
      <c r="BU708" s="31"/>
      <c r="BV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31"/>
      <c r="BJ709" s="31"/>
      <c r="BK709" s="31"/>
      <c r="BL709" s="31"/>
      <c r="BM709" s="31"/>
      <c r="BN709" s="31"/>
      <c r="BO709" s="31"/>
      <c r="BP709" s="31"/>
      <c r="BQ709" s="31"/>
      <c r="BR709" s="31"/>
      <c r="BS709" s="31"/>
      <c r="BT709" s="31"/>
      <c r="BU709" s="31"/>
      <c r="BV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31"/>
      <c r="BJ710" s="31"/>
      <c r="BK710" s="31"/>
      <c r="BL710" s="31"/>
      <c r="BM710" s="31"/>
      <c r="BN710" s="31"/>
      <c r="BO710" s="31"/>
      <c r="BP710" s="31"/>
      <c r="BQ710" s="31"/>
      <c r="BR710" s="31"/>
      <c r="BS710" s="31"/>
      <c r="BT710" s="31"/>
      <c r="BU710" s="31"/>
      <c r="BV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31"/>
      <c r="BJ711" s="31"/>
      <c r="BK711" s="31"/>
      <c r="BL711" s="31"/>
      <c r="BM711" s="31"/>
      <c r="BN711" s="31"/>
      <c r="BO711" s="31"/>
      <c r="BP711" s="31"/>
      <c r="BQ711" s="31"/>
      <c r="BR711" s="31"/>
      <c r="BS711" s="31"/>
      <c r="BT711" s="31"/>
      <c r="BU711" s="31"/>
      <c r="BV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31"/>
      <c r="BJ712" s="31"/>
      <c r="BK712" s="31"/>
      <c r="BL712" s="31"/>
      <c r="BM712" s="31"/>
      <c r="BN712" s="31"/>
      <c r="BO712" s="31"/>
      <c r="BP712" s="31"/>
      <c r="BQ712" s="31"/>
      <c r="BR712" s="31"/>
      <c r="BS712" s="31"/>
      <c r="BT712" s="31"/>
      <c r="BU712" s="31"/>
      <c r="BV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31"/>
      <c r="BJ713" s="31"/>
      <c r="BK713" s="31"/>
      <c r="BL713" s="31"/>
      <c r="BM713" s="31"/>
      <c r="BN713" s="31"/>
      <c r="BO713" s="31"/>
      <c r="BP713" s="31"/>
      <c r="BQ713" s="31"/>
      <c r="BR713" s="31"/>
      <c r="BS713" s="31"/>
      <c r="BT713" s="31"/>
      <c r="BU713" s="31"/>
      <c r="BV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31"/>
      <c r="BJ714" s="31"/>
      <c r="BK714" s="31"/>
      <c r="BL714" s="31"/>
      <c r="BM714" s="31"/>
      <c r="BN714" s="31"/>
      <c r="BO714" s="31"/>
      <c r="BP714" s="31"/>
      <c r="BQ714" s="31"/>
      <c r="BR714" s="31"/>
      <c r="BS714" s="31"/>
      <c r="BT714" s="31"/>
      <c r="BU714" s="31"/>
      <c r="BV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31"/>
      <c r="BH715" s="31"/>
      <c r="BI715" s="31"/>
      <c r="BJ715" s="31"/>
      <c r="BK715" s="31"/>
      <c r="BL715" s="31"/>
      <c r="BM715" s="31"/>
      <c r="BN715" s="31"/>
      <c r="BO715" s="31"/>
      <c r="BP715" s="31"/>
      <c r="BQ715" s="31"/>
      <c r="BR715" s="31"/>
      <c r="BS715" s="31"/>
      <c r="BT715" s="31"/>
      <c r="BU715" s="31"/>
      <c r="BV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31"/>
      <c r="BH716" s="31"/>
      <c r="BI716" s="31"/>
      <c r="BJ716" s="31"/>
      <c r="BK716" s="31"/>
      <c r="BL716" s="31"/>
      <c r="BM716" s="31"/>
      <c r="BN716" s="31"/>
      <c r="BO716" s="31"/>
      <c r="BP716" s="31"/>
      <c r="BQ716" s="31"/>
      <c r="BR716" s="31"/>
      <c r="BS716" s="31"/>
      <c r="BT716" s="31"/>
      <c r="BU716" s="31"/>
      <c r="BV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31"/>
      <c r="BJ717" s="31"/>
      <c r="BK717" s="31"/>
      <c r="BL717" s="31"/>
      <c r="BM717" s="31"/>
      <c r="BN717" s="31"/>
      <c r="BO717" s="31"/>
      <c r="BP717" s="31"/>
      <c r="BQ717" s="31"/>
      <c r="BR717" s="31"/>
      <c r="BS717" s="31"/>
      <c r="BT717" s="31"/>
      <c r="BU717" s="31"/>
      <c r="BV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31"/>
      <c r="BH718" s="31"/>
      <c r="BI718" s="31"/>
      <c r="BJ718" s="31"/>
      <c r="BK718" s="31"/>
      <c r="BL718" s="31"/>
      <c r="BM718" s="31"/>
      <c r="BN718" s="31"/>
      <c r="BO718" s="31"/>
      <c r="BP718" s="31"/>
      <c r="BQ718" s="31"/>
      <c r="BR718" s="31"/>
      <c r="BS718" s="31"/>
      <c r="BT718" s="31"/>
      <c r="BU718" s="31"/>
      <c r="BV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31"/>
      <c r="BJ719" s="31"/>
      <c r="BK719" s="31"/>
      <c r="BL719" s="31"/>
      <c r="BM719" s="31"/>
      <c r="BN719" s="31"/>
      <c r="BO719" s="31"/>
      <c r="BP719" s="31"/>
      <c r="BQ719" s="31"/>
      <c r="BR719" s="31"/>
      <c r="BS719" s="31"/>
      <c r="BT719" s="31"/>
      <c r="BU719" s="31"/>
      <c r="BV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31"/>
      <c r="BH720" s="31"/>
      <c r="BI720" s="31"/>
      <c r="BJ720" s="31"/>
      <c r="BK720" s="31"/>
      <c r="BL720" s="31"/>
      <c r="BM720" s="31"/>
      <c r="BN720" s="31"/>
      <c r="BO720" s="31"/>
      <c r="BP720" s="31"/>
      <c r="BQ720" s="31"/>
      <c r="BR720" s="31"/>
      <c r="BS720" s="31"/>
      <c r="BT720" s="31"/>
      <c r="BU720" s="31"/>
      <c r="BV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31"/>
      <c r="BJ721" s="31"/>
      <c r="BK721" s="31"/>
      <c r="BL721" s="31"/>
      <c r="BM721" s="31"/>
      <c r="BN721" s="31"/>
      <c r="BO721" s="31"/>
      <c r="BP721" s="31"/>
      <c r="BQ721" s="31"/>
      <c r="BR721" s="31"/>
      <c r="BS721" s="31"/>
      <c r="BT721" s="31"/>
      <c r="BU721" s="31"/>
      <c r="BV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31"/>
      <c r="BH722" s="31"/>
      <c r="BI722" s="31"/>
      <c r="BJ722" s="31"/>
      <c r="BK722" s="31"/>
      <c r="BL722" s="31"/>
      <c r="BM722" s="31"/>
      <c r="BN722" s="31"/>
      <c r="BO722" s="31"/>
      <c r="BP722" s="31"/>
      <c r="BQ722" s="31"/>
      <c r="BR722" s="31"/>
      <c r="BS722" s="31"/>
      <c r="BT722" s="31"/>
      <c r="BU722" s="31"/>
      <c r="BV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31"/>
      <c r="BJ723" s="31"/>
      <c r="BK723" s="31"/>
      <c r="BL723" s="31"/>
      <c r="BM723" s="31"/>
      <c r="BN723" s="31"/>
      <c r="BO723" s="31"/>
      <c r="BP723" s="31"/>
      <c r="BQ723" s="31"/>
      <c r="BR723" s="31"/>
      <c r="BS723" s="31"/>
      <c r="BT723" s="31"/>
      <c r="BU723" s="31"/>
      <c r="BV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31"/>
      <c r="BH724" s="31"/>
      <c r="BI724" s="31"/>
      <c r="BJ724" s="31"/>
      <c r="BK724" s="31"/>
      <c r="BL724" s="31"/>
      <c r="BM724" s="31"/>
      <c r="BN724" s="31"/>
      <c r="BO724" s="31"/>
      <c r="BP724" s="31"/>
      <c r="BQ724" s="31"/>
      <c r="BR724" s="31"/>
      <c r="BS724" s="31"/>
      <c r="BT724" s="31"/>
      <c r="BU724" s="31"/>
      <c r="BV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31"/>
      <c r="BH725" s="31"/>
      <c r="BI725" s="31"/>
      <c r="BJ725" s="31"/>
      <c r="BK725" s="31"/>
      <c r="BL725" s="31"/>
      <c r="BM725" s="31"/>
      <c r="BN725" s="31"/>
      <c r="BO725" s="31"/>
      <c r="BP725" s="31"/>
      <c r="BQ725" s="31"/>
      <c r="BR725" s="31"/>
      <c r="BS725" s="31"/>
      <c r="BT725" s="31"/>
      <c r="BU725" s="31"/>
      <c r="BV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31"/>
      <c r="BH726" s="31"/>
      <c r="BI726" s="31"/>
      <c r="BJ726" s="31"/>
      <c r="BK726" s="31"/>
      <c r="BL726" s="31"/>
      <c r="BM726" s="31"/>
      <c r="BN726" s="31"/>
      <c r="BO726" s="31"/>
      <c r="BP726" s="31"/>
      <c r="BQ726" s="31"/>
      <c r="BR726" s="31"/>
      <c r="BS726" s="31"/>
      <c r="BT726" s="31"/>
      <c r="BU726" s="31"/>
      <c r="BV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31"/>
      <c r="BJ727" s="31"/>
      <c r="BK727" s="31"/>
      <c r="BL727" s="31"/>
      <c r="BM727" s="31"/>
      <c r="BN727" s="31"/>
      <c r="BO727" s="31"/>
      <c r="BP727" s="31"/>
      <c r="BQ727" s="31"/>
      <c r="BR727" s="31"/>
      <c r="BS727" s="31"/>
      <c r="BT727" s="31"/>
      <c r="BU727" s="31"/>
      <c r="BV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31"/>
      <c r="BH728" s="31"/>
      <c r="BI728" s="31"/>
      <c r="BJ728" s="31"/>
      <c r="BK728" s="31"/>
      <c r="BL728" s="31"/>
      <c r="BM728" s="31"/>
      <c r="BN728" s="31"/>
      <c r="BO728" s="31"/>
      <c r="BP728" s="31"/>
      <c r="BQ728" s="31"/>
      <c r="BR728" s="31"/>
      <c r="BS728" s="31"/>
      <c r="BT728" s="31"/>
      <c r="BU728" s="31"/>
      <c r="BV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31"/>
      <c r="BJ729" s="31"/>
      <c r="BK729" s="31"/>
      <c r="BL729" s="31"/>
      <c r="BM729" s="31"/>
      <c r="BN729" s="31"/>
      <c r="BO729" s="31"/>
      <c r="BP729" s="31"/>
      <c r="BQ729" s="31"/>
      <c r="BR729" s="31"/>
      <c r="BS729" s="31"/>
      <c r="BT729" s="31"/>
      <c r="BU729" s="31"/>
      <c r="BV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1"/>
      <c r="BE730" s="31"/>
      <c r="BF730" s="31"/>
      <c r="BG730" s="31"/>
      <c r="BH730" s="31"/>
      <c r="BI730" s="31"/>
      <c r="BJ730" s="31"/>
      <c r="BK730" s="31"/>
      <c r="BL730" s="31"/>
      <c r="BM730" s="31"/>
      <c r="BN730" s="31"/>
      <c r="BO730" s="31"/>
      <c r="BP730" s="31"/>
      <c r="BQ730" s="31"/>
      <c r="BR730" s="31"/>
      <c r="BS730" s="31"/>
      <c r="BT730" s="31"/>
      <c r="BU730" s="31"/>
      <c r="BV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31"/>
      <c r="BH731" s="31"/>
      <c r="BI731" s="31"/>
      <c r="BJ731" s="31"/>
      <c r="BK731" s="31"/>
      <c r="BL731" s="31"/>
      <c r="BM731" s="31"/>
      <c r="BN731" s="31"/>
      <c r="BO731" s="31"/>
      <c r="BP731" s="31"/>
      <c r="BQ731" s="31"/>
      <c r="BR731" s="31"/>
      <c r="BS731" s="31"/>
      <c r="BT731" s="31"/>
      <c r="BU731" s="31"/>
      <c r="BV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31"/>
      <c r="BH732" s="31"/>
      <c r="BI732" s="31"/>
      <c r="BJ732" s="31"/>
      <c r="BK732" s="31"/>
      <c r="BL732" s="31"/>
      <c r="BM732" s="31"/>
      <c r="BN732" s="31"/>
      <c r="BO732" s="31"/>
      <c r="BP732" s="31"/>
      <c r="BQ732" s="31"/>
      <c r="BR732" s="31"/>
      <c r="BS732" s="31"/>
      <c r="BT732" s="31"/>
      <c r="BU732" s="31"/>
      <c r="BV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31"/>
      <c r="BJ733" s="31"/>
      <c r="BK733" s="31"/>
      <c r="BL733" s="31"/>
      <c r="BM733" s="31"/>
      <c r="BN733" s="31"/>
      <c r="BO733" s="31"/>
      <c r="BP733" s="31"/>
      <c r="BQ733" s="31"/>
      <c r="BR733" s="31"/>
      <c r="BS733" s="31"/>
      <c r="BT733" s="31"/>
      <c r="BU733" s="31"/>
      <c r="BV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1"/>
      <c r="BE734" s="31"/>
      <c r="BF734" s="31"/>
      <c r="BG734" s="31"/>
      <c r="BH734" s="31"/>
      <c r="BI734" s="31"/>
      <c r="BJ734" s="31"/>
      <c r="BK734" s="31"/>
      <c r="BL734" s="31"/>
      <c r="BM734" s="31"/>
      <c r="BN734" s="31"/>
      <c r="BO734" s="31"/>
      <c r="BP734" s="31"/>
      <c r="BQ734" s="31"/>
      <c r="BR734" s="31"/>
      <c r="BS734" s="31"/>
      <c r="BT734" s="31"/>
      <c r="BU734" s="31"/>
      <c r="BV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31"/>
      <c r="BH735" s="31"/>
      <c r="BI735" s="31"/>
      <c r="BJ735" s="31"/>
      <c r="BK735" s="31"/>
      <c r="BL735" s="31"/>
      <c r="BM735" s="31"/>
      <c r="BN735" s="31"/>
      <c r="BO735" s="31"/>
      <c r="BP735" s="31"/>
      <c r="BQ735" s="31"/>
      <c r="BR735" s="31"/>
      <c r="BS735" s="31"/>
      <c r="BT735" s="31"/>
      <c r="BU735" s="31"/>
      <c r="BV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31"/>
      <c r="BH736" s="31"/>
      <c r="BI736" s="31"/>
      <c r="BJ736" s="31"/>
      <c r="BK736" s="31"/>
      <c r="BL736" s="31"/>
      <c r="BM736" s="31"/>
      <c r="BN736" s="31"/>
      <c r="BO736" s="31"/>
      <c r="BP736" s="31"/>
      <c r="BQ736" s="31"/>
      <c r="BR736" s="31"/>
      <c r="BS736" s="31"/>
      <c r="BT736" s="31"/>
      <c r="BU736" s="31"/>
      <c r="BV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31"/>
      <c r="BH737" s="31"/>
      <c r="BI737" s="31"/>
      <c r="BJ737" s="31"/>
      <c r="BK737" s="31"/>
      <c r="BL737" s="31"/>
      <c r="BM737" s="31"/>
      <c r="BN737" s="31"/>
      <c r="BO737" s="31"/>
      <c r="BP737" s="31"/>
      <c r="BQ737" s="31"/>
      <c r="BR737" s="31"/>
      <c r="BS737" s="31"/>
      <c r="BT737" s="31"/>
      <c r="BU737" s="31"/>
      <c r="BV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31"/>
      <c r="BH738" s="31"/>
      <c r="BI738" s="31"/>
      <c r="BJ738" s="31"/>
      <c r="BK738" s="31"/>
      <c r="BL738" s="31"/>
      <c r="BM738" s="31"/>
      <c r="BN738" s="31"/>
      <c r="BO738" s="31"/>
      <c r="BP738" s="31"/>
      <c r="BQ738" s="31"/>
      <c r="BR738" s="31"/>
      <c r="BS738" s="31"/>
      <c r="BT738" s="31"/>
      <c r="BU738" s="31"/>
      <c r="BV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31"/>
      <c r="BJ739" s="31"/>
      <c r="BK739" s="31"/>
      <c r="BL739" s="31"/>
      <c r="BM739" s="31"/>
      <c r="BN739" s="31"/>
      <c r="BO739" s="31"/>
      <c r="BP739" s="31"/>
      <c r="BQ739" s="31"/>
      <c r="BR739" s="31"/>
      <c r="BS739" s="31"/>
      <c r="BT739" s="31"/>
      <c r="BU739" s="31"/>
      <c r="BV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31"/>
      <c r="BH740" s="31"/>
      <c r="BI740" s="31"/>
      <c r="BJ740" s="31"/>
      <c r="BK740" s="31"/>
      <c r="BL740" s="31"/>
      <c r="BM740" s="31"/>
      <c r="BN740" s="31"/>
      <c r="BO740" s="31"/>
      <c r="BP740" s="31"/>
      <c r="BQ740" s="31"/>
      <c r="BR740" s="31"/>
      <c r="BS740" s="31"/>
      <c r="BT740" s="31"/>
      <c r="BU740" s="31"/>
      <c r="BV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31"/>
      <c r="BJ741" s="31"/>
      <c r="BK741" s="31"/>
      <c r="BL741" s="31"/>
      <c r="BM741" s="31"/>
      <c r="BN741" s="31"/>
      <c r="BO741" s="31"/>
      <c r="BP741" s="31"/>
      <c r="BQ741" s="31"/>
      <c r="BR741" s="31"/>
      <c r="BS741" s="31"/>
      <c r="BT741" s="31"/>
      <c r="BU741" s="31"/>
      <c r="BV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31"/>
      <c r="BH742" s="31"/>
      <c r="BI742" s="31"/>
      <c r="BJ742" s="31"/>
      <c r="BK742" s="31"/>
      <c r="BL742" s="31"/>
      <c r="BM742" s="31"/>
      <c r="BN742" s="31"/>
      <c r="BO742" s="31"/>
      <c r="BP742" s="31"/>
      <c r="BQ742" s="31"/>
      <c r="BR742" s="31"/>
      <c r="BS742" s="31"/>
      <c r="BT742" s="31"/>
      <c r="BU742" s="31"/>
      <c r="BV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31"/>
      <c r="BH743" s="31"/>
      <c r="BI743" s="31"/>
      <c r="BJ743" s="31"/>
      <c r="BK743" s="31"/>
      <c r="BL743" s="31"/>
      <c r="BM743" s="31"/>
      <c r="BN743" s="31"/>
      <c r="BO743" s="31"/>
      <c r="BP743" s="31"/>
      <c r="BQ743" s="31"/>
      <c r="BR743" s="31"/>
      <c r="BS743" s="31"/>
      <c r="BT743" s="31"/>
      <c r="BU743" s="31"/>
      <c r="BV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31"/>
      <c r="BH744" s="31"/>
      <c r="BI744" s="31"/>
      <c r="BJ744" s="31"/>
      <c r="BK744" s="31"/>
      <c r="BL744" s="31"/>
      <c r="BM744" s="31"/>
      <c r="BN744" s="31"/>
      <c r="BO744" s="31"/>
      <c r="BP744" s="31"/>
      <c r="BQ744" s="31"/>
      <c r="BR744" s="31"/>
      <c r="BS744" s="31"/>
      <c r="BT744" s="31"/>
      <c r="BU744" s="31"/>
      <c r="BV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31"/>
      <c r="BJ745" s="31"/>
      <c r="BK745" s="31"/>
      <c r="BL745" s="31"/>
      <c r="BM745" s="31"/>
      <c r="BN745" s="31"/>
      <c r="BO745" s="31"/>
      <c r="BP745" s="31"/>
      <c r="BQ745" s="31"/>
      <c r="BR745" s="31"/>
      <c r="BS745" s="31"/>
      <c r="BT745" s="31"/>
      <c r="BU745" s="31"/>
      <c r="BV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1"/>
      <c r="BE746" s="31"/>
      <c r="BF746" s="31"/>
      <c r="BG746" s="31"/>
      <c r="BH746" s="31"/>
      <c r="BI746" s="31"/>
      <c r="BJ746" s="31"/>
      <c r="BK746" s="31"/>
      <c r="BL746" s="31"/>
      <c r="BM746" s="31"/>
      <c r="BN746" s="31"/>
      <c r="BO746" s="31"/>
      <c r="BP746" s="31"/>
      <c r="BQ746" s="31"/>
      <c r="BR746" s="31"/>
      <c r="BS746" s="31"/>
      <c r="BT746" s="31"/>
      <c r="BU746" s="31"/>
      <c r="BV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31"/>
      <c r="BH747" s="31"/>
      <c r="BI747" s="31"/>
      <c r="BJ747" s="31"/>
      <c r="BK747" s="31"/>
      <c r="BL747" s="31"/>
      <c r="BM747" s="31"/>
      <c r="BN747" s="31"/>
      <c r="BO747" s="31"/>
      <c r="BP747" s="31"/>
      <c r="BQ747" s="31"/>
      <c r="BR747" s="31"/>
      <c r="BS747" s="31"/>
      <c r="BT747" s="31"/>
      <c r="BU747" s="31"/>
      <c r="BV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31"/>
      <c r="BH748" s="31"/>
      <c r="BI748" s="31"/>
      <c r="BJ748" s="31"/>
      <c r="BK748" s="31"/>
      <c r="BL748" s="31"/>
      <c r="BM748" s="31"/>
      <c r="BN748" s="31"/>
      <c r="BO748" s="31"/>
      <c r="BP748" s="31"/>
      <c r="BQ748" s="31"/>
      <c r="BR748" s="31"/>
      <c r="BS748" s="31"/>
      <c r="BT748" s="31"/>
      <c r="BU748" s="31"/>
      <c r="BV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31"/>
      <c r="BJ749" s="31"/>
      <c r="BK749" s="31"/>
      <c r="BL749" s="31"/>
      <c r="BM749" s="31"/>
      <c r="BN749" s="31"/>
      <c r="BO749" s="31"/>
      <c r="BP749" s="31"/>
      <c r="BQ749" s="31"/>
      <c r="BR749" s="31"/>
      <c r="BS749" s="31"/>
      <c r="BT749" s="31"/>
      <c r="BU749" s="31"/>
      <c r="BV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31"/>
      <c r="BH750" s="31"/>
      <c r="BI750" s="31"/>
      <c r="BJ750" s="31"/>
      <c r="BK750" s="31"/>
      <c r="BL750" s="31"/>
      <c r="BM750" s="31"/>
      <c r="BN750" s="31"/>
      <c r="BO750" s="31"/>
      <c r="BP750" s="31"/>
      <c r="BQ750" s="31"/>
      <c r="BR750" s="31"/>
      <c r="BS750" s="31"/>
      <c r="BT750" s="31"/>
      <c r="BU750" s="31"/>
      <c r="BV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31"/>
      <c r="BJ751" s="31"/>
      <c r="BK751" s="31"/>
      <c r="BL751" s="31"/>
      <c r="BM751" s="31"/>
      <c r="BN751" s="31"/>
      <c r="BO751" s="31"/>
      <c r="BP751" s="31"/>
      <c r="BQ751" s="31"/>
      <c r="BR751" s="31"/>
      <c r="BS751" s="31"/>
      <c r="BT751" s="31"/>
      <c r="BU751" s="31"/>
      <c r="BV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31"/>
      <c r="BH752" s="31"/>
      <c r="BI752" s="31"/>
      <c r="BJ752" s="31"/>
      <c r="BK752" s="31"/>
      <c r="BL752" s="31"/>
      <c r="BM752" s="31"/>
      <c r="BN752" s="31"/>
      <c r="BO752" s="31"/>
      <c r="BP752" s="31"/>
      <c r="BQ752" s="31"/>
      <c r="BR752" s="31"/>
      <c r="BS752" s="31"/>
      <c r="BT752" s="31"/>
      <c r="BU752" s="31"/>
      <c r="BV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31"/>
      <c r="BH753" s="31"/>
      <c r="BI753" s="31"/>
      <c r="BJ753" s="31"/>
      <c r="BK753" s="31"/>
      <c r="BL753" s="31"/>
      <c r="BM753" s="31"/>
      <c r="BN753" s="31"/>
      <c r="BO753" s="31"/>
      <c r="BP753" s="31"/>
      <c r="BQ753" s="31"/>
      <c r="BR753" s="31"/>
      <c r="BS753" s="31"/>
      <c r="BT753" s="31"/>
      <c r="BU753" s="31"/>
      <c r="BV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31"/>
      <c r="BH754" s="31"/>
      <c r="BI754" s="31"/>
      <c r="BJ754" s="31"/>
      <c r="BK754" s="31"/>
      <c r="BL754" s="31"/>
      <c r="BM754" s="31"/>
      <c r="BN754" s="31"/>
      <c r="BO754" s="31"/>
      <c r="BP754" s="31"/>
      <c r="BQ754" s="31"/>
      <c r="BR754" s="31"/>
      <c r="BS754" s="31"/>
      <c r="BT754" s="31"/>
      <c r="BU754" s="31"/>
      <c r="BV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31"/>
      <c r="BJ755" s="31"/>
      <c r="BK755" s="31"/>
      <c r="BL755" s="31"/>
      <c r="BM755" s="31"/>
      <c r="BN755" s="31"/>
      <c r="BO755" s="31"/>
      <c r="BP755" s="31"/>
      <c r="BQ755" s="31"/>
      <c r="BR755" s="31"/>
      <c r="BS755" s="31"/>
      <c r="BT755" s="31"/>
      <c r="BU755" s="31"/>
      <c r="BV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1"/>
      <c r="BE756" s="31"/>
      <c r="BF756" s="31"/>
      <c r="BG756" s="31"/>
      <c r="BH756" s="31"/>
      <c r="BI756" s="31"/>
      <c r="BJ756" s="31"/>
      <c r="BK756" s="31"/>
      <c r="BL756" s="31"/>
      <c r="BM756" s="31"/>
      <c r="BN756" s="31"/>
      <c r="BO756" s="31"/>
      <c r="BP756" s="31"/>
      <c r="BQ756" s="31"/>
      <c r="BR756" s="31"/>
      <c r="BS756" s="31"/>
      <c r="BT756" s="31"/>
      <c r="BU756" s="31"/>
      <c r="BV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31"/>
      <c r="BH757" s="31"/>
      <c r="BI757" s="31"/>
      <c r="BJ757" s="31"/>
      <c r="BK757" s="31"/>
      <c r="BL757" s="31"/>
      <c r="BM757" s="31"/>
      <c r="BN757" s="31"/>
      <c r="BO757" s="31"/>
      <c r="BP757" s="31"/>
      <c r="BQ757" s="31"/>
      <c r="BR757" s="31"/>
      <c r="BS757" s="31"/>
      <c r="BT757" s="31"/>
      <c r="BU757" s="31"/>
      <c r="BV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31"/>
      <c r="BH758" s="31"/>
      <c r="BI758" s="31"/>
      <c r="BJ758" s="31"/>
      <c r="BK758" s="31"/>
      <c r="BL758" s="31"/>
      <c r="BM758" s="31"/>
      <c r="BN758" s="31"/>
      <c r="BO758" s="31"/>
      <c r="BP758" s="31"/>
      <c r="BQ758" s="31"/>
      <c r="BR758" s="31"/>
      <c r="BS758" s="31"/>
      <c r="BT758" s="31"/>
      <c r="BU758" s="31"/>
      <c r="BV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31"/>
      <c r="BJ759" s="31"/>
      <c r="BK759" s="31"/>
      <c r="BL759" s="31"/>
      <c r="BM759" s="31"/>
      <c r="BN759" s="31"/>
      <c r="BO759" s="31"/>
      <c r="BP759" s="31"/>
      <c r="BQ759" s="31"/>
      <c r="BR759" s="31"/>
      <c r="BS759" s="31"/>
      <c r="BT759" s="31"/>
      <c r="BU759" s="31"/>
      <c r="BV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31"/>
      <c r="BH760" s="31"/>
      <c r="BI760" s="31"/>
      <c r="BJ760" s="31"/>
      <c r="BK760" s="31"/>
      <c r="BL760" s="31"/>
      <c r="BM760" s="31"/>
      <c r="BN760" s="31"/>
      <c r="BO760" s="31"/>
      <c r="BP760" s="31"/>
      <c r="BQ760" s="31"/>
      <c r="BR760" s="31"/>
      <c r="BS760" s="31"/>
      <c r="BT760" s="31"/>
      <c r="BU760" s="31"/>
      <c r="BV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31"/>
      <c r="BJ761" s="31"/>
      <c r="BK761" s="31"/>
      <c r="BL761" s="31"/>
      <c r="BM761" s="31"/>
      <c r="BN761" s="31"/>
      <c r="BO761" s="31"/>
      <c r="BP761" s="31"/>
      <c r="BQ761" s="31"/>
      <c r="BR761" s="31"/>
      <c r="BS761" s="31"/>
      <c r="BT761" s="31"/>
      <c r="BU761" s="31"/>
      <c r="BV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31"/>
      <c r="BH762" s="31"/>
      <c r="BI762" s="31"/>
      <c r="BJ762" s="31"/>
      <c r="BK762" s="31"/>
      <c r="BL762" s="31"/>
      <c r="BM762" s="31"/>
      <c r="BN762" s="31"/>
      <c r="BO762" s="31"/>
      <c r="BP762" s="31"/>
      <c r="BQ762" s="31"/>
      <c r="BR762" s="31"/>
      <c r="BS762" s="31"/>
      <c r="BT762" s="31"/>
      <c r="BU762" s="31"/>
      <c r="BV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31"/>
      <c r="BH763" s="31"/>
      <c r="BI763" s="31"/>
      <c r="BJ763" s="31"/>
      <c r="BK763" s="31"/>
      <c r="BL763" s="31"/>
      <c r="BM763" s="31"/>
      <c r="BN763" s="31"/>
      <c r="BO763" s="31"/>
      <c r="BP763" s="31"/>
      <c r="BQ763" s="31"/>
      <c r="BR763" s="31"/>
      <c r="BS763" s="31"/>
      <c r="BT763" s="31"/>
      <c r="BU763" s="31"/>
      <c r="BV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1"/>
      <c r="BE764" s="31"/>
      <c r="BF764" s="31"/>
      <c r="BG764" s="31"/>
      <c r="BH764" s="31"/>
      <c r="BI764" s="31"/>
      <c r="BJ764" s="31"/>
      <c r="BK764" s="31"/>
      <c r="BL764" s="31"/>
      <c r="BM764" s="31"/>
      <c r="BN764" s="31"/>
      <c r="BO764" s="31"/>
      <c r="BP764" s="31"/>
      <c r="BQ764" s="31"/>
      <c r="BR764" s="31"/>
      <c r="BS764" s="31"/>
      <c r="BT764" s="31"/>
      <c r="BU764" s="31"/>
      <c r="BV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31"/>
      <c r="BH765" s="31"/>
      <c r="BI765" s="31"/>
      <c r="BJ765" s="31"/>
      <c r="BK765" s="31"/>
      <c r="BL765" s="31"/>
      <c r="BM765" s="31"/>
      <c r="BN765" s="31"/>
      <c r="BO765" s="31"/>
      <c r="BP765" s="31"/>
      <c r="BQ765" s="31"/>
      <c r="BR765" s="31"/>
      <c r="BS765" s="31"/>
      <c r="BT765" s="31"/>
      <c r="BU765" s="31"/>
      <c r="BV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31"/>
      <c r="BH766" s="31"/>
      <c r="BI766" s="31"/>
      <c r="BJ766" s="31"/>
      <c r="BK766" s="31"/>
      <c r="BL766" s="31"/>
      <c r="BM766" s="31"/>
      <c r="BN766" s="31"/>
      <c r="BO766" s="31"/>
      <c r="BP766" s="31"/>
      <c r="BQ766" s="31"/>
      <c r="BR766" s="31"/>
      <c r="BS766" s="31"/>
      <c r="BT766" s="31"/>
      <c r="BU766" s="31"/>
      <c r="BV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31"/>
      <c r="BJ767" s="31"/>
      <c r="BK767" s="31"/>
      <c r="BL767" s="31"/>
      <c r="BM767" s="31"/>
      <c r="BN767" s="31"/>
      <c r="BO767" s="31"/>
      <c r="BP767" s="31"/>
      <c r="BQ767" s="31"/>
      <c r="BR767" s="31"/>
      <c r="BS767" s="31"/>
      <c r="BT767" s="31"/>
      <c r="BU767" s="31"/>
      <c r="BV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1"/>
      <c r="BE768" s="31"/>
      <c r="BF768" s="31"/>
      <c r="BG768" s="31"/>
      <c r="BH768" s="31"/>
      <c r="BI768" s="31"/>
      <c r="BJ768" s="31"/>
      <c r="BK768" s="31"/>
      <c r="BL768" s="31"/>
      <c r="BM768" s="31"/>
      <c r="BN768" s="31"/>
      <c r="BO768" s="31"/>
      <c r="BP768" s="31"/>
      <c r="BQ768" s="31"/>
      <c r="BR768" s="31"/>
      <c r="BS768" s="31"/>
      <c r="BT768" s="31"/>
      <c r="BU768" s="31"/>
      <c r="BV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31"/>
      <c r="BH769" s="31"/>
      <c r="BI769" s="31"/>
      <c r="BJ769" s="31"/>
      <c r="BK769" s="31"/>
      <c r="BL769" s="31"/>
      <c r="BM769" s="31"/>
      <c r="BN769" s="31"/>
      <c r="BO769" s="31"/>
      <c r="BP769" s="31"/>
      <c r="BQ769" s="31"/>
      <c r="BR769" s="31"/>
      <c r="BS769" s="31"/>
      <c r="BT769" s="31"/>
      <c r="BU769" s="31"/>
      <c r="BV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31"/>
      <c r="BH770" s="31"/>
      <c r="BI770" s="31"/>
      <c r="BJ770" s="31"/>
      <c r="BK770" s="31"/>
      <c r="BL770" s="31"/>
      <c r="BM770" s="31"/>
      <c r="BN770" s="31"/>
      <c r="BO770" s="31"/>
      <c r="BP770" s="31"/>
      <c r="BQ770" s="31"/>
      <c r="BR770" s="31"/>
      <c r="BS770" s="31"/>
      <c r="BT770" s="31"/>
      <c r="BU770" s="31"/>
      <c r="BV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31"/>
      <c r="BH771" s="31"/>
      <c r="BI771" s="31"/>
      <c r="BJ771" s="31"/>
      <c r="BK771" s="31"/>
      <c r="BL771" s="31"/>
      <c r="BM771" s="31"/>
      <c r="BN771" s="31"/>
      <c r="BO771" s="31"/>
      <c r="BP771" s="31"/>
      <c r="BQ771" s="31"/>
      <c r="BR771" s="31"/>
      <c r="BS771" s="31"/>
      <c r="BT771" s="31"/>
      <c r="BU771" s="31"/>
      <c r="BV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31"/>
      <c r="BH772" s="31"/>
      <c r="BI772" s="31"/>
      <c r="BJ772" s="31"/>
      <c r="BK772" s="31"/>
      <c r="BL772" s="31"/>
      <c r="BM772" s="31"/>
      <c r="BN772" s="31"/>
      <c r="BO772" s="31"/>
      <c r="BP772" s="31"/>
      <c r="BQ772" s="31"/>
      <c r="BR772" s="31"/>
      <c r="BS772" s="31"/>
      <c r="BT772" s="31"/>
      <c r="BU772" s="31"/>
      <c r="BV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31"/>
      <c r="BH773" s="31"/>
      <c r="BI773" s="31"/>
      <c r="BJ773" s="31"/>
      <c r="BK773" s="31"/>
      <c r="BL773" s="31"/>
      <c r="BM773" s="31"/>
      <c r="BN773" s="31"/>
      <c r="BO773" s="31"/>
      <c r="BP773" s="31"/>
      <c r="BQ773" s="31"/>
      <c r="BR773" s="31"/>
      <c r="BS773" s="31"/>
      <c r="BT773" s="31"/>
      <c r="BU773" s="31"/>
      <c r="BV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31"/>
      <c r="BH774" s="31"/>
      <c r="BI774" s="31"/>
      <c r="BJ774" s="31"/>
      <c r="BK774" s="31"/>
      <c r="BL774" s="31"/>
      <c r="BM774" s="31"/>
      <c r="BN774" s="31"/>
      <c r="BO774" s="31"/>
      <c r="BP774" s="31"/>
      <c r="BQ774" s="31"/>
      <c r="BR774" s="31"/>
      <c r="BS774" s="31"/>
      <c r="BT774" s="31"/>
      <c r="BU774" s="31"/>
      <c r="BV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31"/>
      <c r="BJ775" s="31"/>
      <c r="BK775" s="31"/>
      <c r="BL775" s="31"/>
      <c r="BM775" s="31"/>
      <c r="BN775" s="31"/>
      <c r="BO775" s="31"/>
      <c r="BP775" s="31"/>
      <c r="BQ775" s="31"/>
      <c r="BR775" s="31"/>
      <c r="BS775" s="31"/>
      <c r="BT775" s="31"/>
      <c r="BU775" s="31"/>
      <c r="BV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31"/>
      <c r="BH776" s="31"/>
      <c r="BI776" s="31"/>
      <c r="BJ776" s="31"/>
      <c r="BK776" s="31"/>
      <c r="BL776" s="31"/>
      <c r="BM776" s="31"/>
      <c r="BN776" s="31"/>
      <c r="BO776" s="31"/>
      <c r="BP776" s="31"/>
      <c r="BQ776" s="31"/>
      <c r="BR776" s="31"/>
      <c r="BS776" s="31"/>
      <c r="BT776" s="31"/>
      <c r="BU776" s="31"/>
      <c r="BV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31"/>
      <c r="BJ777" s="31"/>
      <c r="BK777" s="31"/>
      <c r="BL777" s="31"/>
      <c r="BM777" s="31"/>
      <c r="BN777" s="31"/>
      <c r="BO777" s="31"/>
      <c r="BP777" s="31"/>
      <c r="BQ777" s="31"/>
      <c r="BR777" s="31"/>
      <c r="BS777" s="31"/>
      <c r="BT777" s="31"/>
      <c r="BU777" s="31"/>
      <c r="BV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31"/>
      <c r="BH778" s="31"/>
      <c r="BI778" s="31"/>
      <c r="BJ778" s="31"/>
      <c r="BK778" s="31"/>
      <c r="BL778" s="31"/>
      <c r="BM778" s="31"/>
      <c r="BN778" s="31"/>
      <c r="BO778" s="31"/>
      <c r="BP778" s="31"/>
      <c r="BQ778" s="31"/>
      <c r="BR778" s="31"/>
      <c r="BS778" s="31"/>
      <c r="BT778" s="31"/>
      <c r="BU778" s="31"/>
      <c r="BV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31"/>
      <c r="BJ779" s="31"/>
      <c r="BK779" s="31"/>
      <c r="BL779" s="31"/>
      <c r="BM779" s="31"/>
      <c r="BN779" s="31"/>
      <c r="BO779" s="31"/>
      <c r="BP779" s="31"/>
      <c r="BQ779" s="31"/>
      <c r="BR779" s="31"/>
      <c r="BS779" s="31"/>
      <c r="BT779" s="31"/>
      <c r="BU779" s="31"/>
      <c r="BV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31"/>
      <c r="BH780" s="31"/>
      <c r="BI780" s="31"/>
      <c r="BJ780" s="31"/>
      <c r="BK780" s="31"/>
      <c r="BL780" s="31"/>
      <c r="BM780" s="31"/>
      <c r="BN780" s="31"/>
      <c r="BO780" s="31"/>
      <c r="BP780" s="31"/>
      <c r="BQ780" s="31"/>
      <c r="BR780" s="31"/>
      <c r="BS780" s="31"/>
      <c r="BT780" s="31"/>
      <c r="BU780" s="31"/>
      <c r="BV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31"/>
      <c r="BJ781" s="31"/>
      <c r="BK781" s="31"/>
      <c r="BL781" s="31"/>
      <c r="BM781" s="31"/>
      <c r="BN781" s="31"/>
      <c r="BO781" s="31"/>
      <c r="BP781" s="31"/>
      <c r="BQ781" s="31"/>
      <c r="BR781" s="31"/>
      <c r="BS781" s="31"/>
      <c r="BT781" s="31"/>
      <c r="BU781" s="31"/>
      <c r="BV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31"/>
      <c r="BH782" s="31"/>
      <c r="BI782" s="31"/>
      <c r="BJ782" s="31"/>
      <c r="BK782" s="31"/>
      <c r="BL782" s="31"/>
      <c r="BM782" s="31"/>
      <c r="BN782" s="31"/>
      <c r="BO782" s="31"/>
      <c r="BP782" s="31"/>
      <c r="BQ782" s="31"/>
      <c r="BR782" s="31"/>
      <c r="BS782" s="31"/>
      <c r="BT782" s="31"/>
      <c r="BU782" s="31"/>
      <c r="BV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31"/>
      <c r="BH783" s="31"/>
      <c r="BI783" s="31"/>
      <c r="BJ783" s="31"/>
      <c r="BK783" s="31"/>
      <c r="BL783" s="31"/>
      <c r="BM783" s="31"/>
      <c r="BN783" s="31"/>
      <c r="BO783" s="31"/>
      <c r="BP783" s="31"/>
      <c r="BQ783" s="31"/>
      <c r="BR783" s="31"/>
      <c r="BS783" s="31"/>
      <c r="BT783" s="31"/>
      <c r="BU783" s="31"/>
      <c r="BV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31"/>
      <c r="BH784" s="31"/>
      <c r="BI784" s="31"/>
      <c r="BJ784" s="31"/>
      <c r="BK784" s="31"/>
      <c r="BL784" s="31"/>
      <c r="BM784" s="31"/>
      <c r="BN784" s="31"/>
      <c r="BO784" s="31"/>
      <c r="BP784" s="31"/>
      <c r="BQ784" s="31"/>
      <c r="BR784" s="31"/>
      <c r="BS784" s="31"/>
      <c r="BT784" s="31"/>
      <c r="BU784" s="31"/>
      <c r="BV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31"/>
      <c r="BJ785" s="31"/>
      <c r="BK785" s="31"/>
      <c r="BL785" s="31"/>
      <c r="BM785" s="31"/>
      <c r="BN785" s="31"/>
      <c r="BO785" s="31"/>
      <c r="BP785" s="31"/>
      <c r="BQ785" s="31"/>
      <c r="BR785" s="31"/>
      <c r="BS785" s="31"/>
      <c r="BT785" s="31"/>
      <c r="BU785" s="31"/>
      <c r="BV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31"/>
      <c r="BH786" s="31"/>
      <c r="BI786" s="31"/>
      <c r="BJ786" s="31"/>
      <c r="BK786" s="31"/>
      <c r="BL786" s="31"/>
      <c r="BM786" s="31"/>
      <c r="BN786" s="31"/>
      <c r="BO786" s="31"/>
      <c r="BP786" s="31"/>
      <c r="BQ786" s="31"/>
      <c r="BR786" s="31"/>
      <c r="BS786" s="31"/>
      <c r="BT786" s="31"/>
      <c r="BU786" s="31"/>
      <c r="BV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31"/>
      <c r="BH787" s="31"/>
      <c r="BI787" s="31"/>
      <c r="BJ787" s="31"/>
      <c r="BK787" s="31"/>
      <c r="BL787" s="31"/>
      <c r="BM787" s="31"/>
      <c r="BN787" s="31"/>
      <c r="BO787" s="31"/>
      <c r="BP787" s="31"/>
      <c r="BQ787" s="31"/>
      <c r="BR787" s="31"/>
      <c r="BS787" s="31"/>
      <c r="BT787" s="31"/>
      <c r="BU787" s="31"/>
      <c r="BV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31"/>
      <c r="BH788" s="31"/>
      <c r="BI788" s="31"/>
      <c r="BJ788" s="31"/>
      <c r="BK788" s="31"/>
      <c r="BL788" s="31"/>
      <c r="BM788" s="31"/>
      <c r="BN788" s="31"/>
      <c r="BO788" s="31"/>
      <c r="BP788" s="31"/>
      <c r="BQ788" s="31"/>
      <c r="BR788" s="31"/>
      <c r="BS788" s="31"/>
      <c r="BT788" s="31"/>
      <c r="BU788" s="31"/>
      <c r="BV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31"/>
      <c r="BJ789" s="31"/>
      <c r="BK789" s="31"/>
      <c r="BL789" s="31"/>
      <c r="BM789" s="31"/>
      <c r="BN789" s="31"/>
      <c r="BO789" s="31"/>
      <c r="BP789" s="31"/>
      <c r="BQ789" s="31"/>
      <c r="BR789" s="31"/>
      <c r="BS789" s="31"/>
      <c r="BT789" s="31"/>
      <c r="BU789" s="31"/>
      <c r="BV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31"/>
      <c r="BH790" s="31"/>
      <c r="BI790" s="31"/>
      <c r="BJ790" s="31"/>
      <c r="BK790" s="31"/>
      <c r="BL790" s="31"/>
      <c r="BM790" s="31"/>
      <c r="BN790" s="31"/>
      <c r="BO790" s="31"/>
      <c r="BP790" s="31"/>
      <c r="BQ790" s="31"/>
      <c r="BR790" s="31"/>
      <c r="BS790" s="31"/>
      <c r="BT790" s="31"/>
      <c r="BU790" s="31"/>
      <c r="BV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31"/>
      <c r="BJ791" s="31"/>
      <c r="BK791" s="31"/>
      <c r="BL791" s="31"/>
      <c r="BM791" s="31"/>
      <c r="BN791" s="31"/>
      <c r="BO791" s="31"/>
      <c r="BP791" s="31"/>
      <c r="BQ791" s="31"/>
      <c r="BR791" s="31"/>
      <c r="BS791" s="31"/>
      <c r="BT791" s="31"/>
      <c r="BU791" s="31"/>
      <c r="BV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31"/>
      <c r="BH792" s="31"/>
      <c r="BI792" s="31"/>
      <c r="BJ792" s="31"/>
      <c r="BK792" s="31"/>
      <c r="BL792" s="31"/>
      <c r="BM792" s="31"/>
      <c r="BN792" s="31"/>
      <c r="BO792" s="31"/>
      <c r="BP792" s="31"/>
      <c r="BQ792" s="31"/>
      <c r="BR792" s="31"/>
      <c r="BS792" s="31"/>
      <c r="BT792" s="31"/>
      <c r="BU792" s="31"/>
      <c r="BV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31"/>
      <c r="BJ793" s="31"/>
      <c r="BK793" s="31"/>
      <c r="BL793" s="31"/>
      <c r="BM793" s="31"/>
      <c r="BN793" s="31"/>
      <c r="BO793" s="31"/>
      <c r="BP793" s="31"/>
      <c r="BQ793" s="31"/>
      <c r="BR793" s="31"/>
      <c r="BS793" s="31"/>
      <c r="BT793" s="31"/>
      <c r="BU793" s="31"/>
      <c r="BV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31"/>
      <c r="BH794" s="31"/>
      <c r="BI794" s="31"/>
      <c r="BJ794" s="31"/>
      <c r="BK794" s="31"/>
      <c r="BL794" s="31"/>
      <c r="BM794" s="31"/>
      <c r="BN794" s="31"/>
      <c r="BO794" s="31"/>
      <c r="BP794" s="31"/>
      <c r="BQ794" s="31"/>
      <c r="BR794" s="31"/>
      <c r="BS794" s="31"/>
      <c r="BT794" s="31"/>
      <c r="BU794" s="31"/>
      <c r="BV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31"/>
      <c r="BJ795" s="31"/>
      <c r="BK795" s="31"/>
      <c r="BL795" s="31"/>
      <c r="BM795" s="31"/>
      <c r="BN795" s="31"/>
      <c r="BO795" s="31"/>
      <c r="BP795" s="31"/>
      <c r="BQ795" s="31"/>
      <c r="BR795" s="31"/>
      <c r="BS795" s="31"/>
      <c r="BT795" s="31"/>
      <c r="BU795" s="31"/>
      <c r="BV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1"/>
      <c r="BE796" s="31"/>
      <c r="BF796" s="31"/>
      <c r="BG796" s="31"/>
      <c r="BH796" s="31"/>
      <c r="BI796" s="31"/>
      <c r="BJ796" s="31"/>
      <c r="BK796" s="31"/>
      <c r="BL796" s="31"/>
      <c r="BM796" s="31"/>
      <c r="BN796" s="31"/>
      <c r="BO796" s="31"/>
      <c r="BP796" s="31"/>
      <c r="BQ796" s="31"/>
      <c r="BR796" s="31"/>
      <c r="BS796" s="31"/>
      <c r="BT796" s="31"/>
      <c r="BU796" s="31"/>
      <c r="BV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31"/>
      <c r="BH797" s="31"/>
      <c r="BI797" s="31"/>
      <c r="BJ797" s="31"/>
      <c r="BK797" s="31"/>
      <c r="BL797" s="31"/>
      <c r="BM797" s="31"/>
      <c r="BN797" s="31"/>
      <c r="BO797" s="31"/>
      <c r="BP797" s="31"/>
      <c r="BQ797" s="31"/>
      <c r="BR797" s="31"/>
      <c r="BS797" s="31"/>
      <c r="BT797" s="31"/>
      <c r="BU797" s="31"/>
      <c r="BV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31"/>
      <c r="BH798" s="31"/>
      <c r="BI798" s="31"/>
      <c r="BJ798" s="31"/>
      <c r="BK798" s="31"/>
      <c r="BL798" s="31"/>
      <c r="BM798" s="31"/>
      <c r="BN798" s="31"/>
      <c r="BO798" s="31"/>
      <c r="BP798" s="31"/>
      <c r="BQ798" s="31"/>
      <c r="BR798" s="31"/>
      <c r="BS798" s="31"/>
      <c r="BT798" s="31"/>
      <c r="BU798" s="31"/>
      <c r="BV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1"/>
      <c r="BE799" s="31"/>
      <c r="BF799" s="31"/>
      <c r="BG799" s="31"/>
      <c r="BH799" s="31"/>
      <c r="BI799" s="31"/>
      <c r="BJ799" s="31"/>
      <c r="BK799" s="31"/>
      <c r="BL799" s="31"/>
      <c r="BM799" s="31"/>
      <c r="BN799" s="31"/>
      <c r="BO799" s="31"/>
      <c r="BP799" s="31"/>
      <c r="BQ799" s="31"/>
      <c r="BR799" s="31"/>
      <c r="BS799" s="31"/>
      <c r="BT799" s="31"/>
      <c r="BU799" s="31"/>
      <c r="BV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1"/>
      <c r="BE800" s="31"/>
      <c r="BF800" s="31"/>
      <c r="BG800" s="31"/>
      <c r="BH800" s="31"/>
      <c r="BI800" s="31"/>
      <c r="BJ800" s="31"/>
      <c r="BK800" s="31"/>
      <c r="BL800" s="31"/>
      <c r="BM800" s="31"/>
      <c r="BN800" s="31"/>
      <c r="BO800" s="31"/>
      <c r="BP800" s="31"/>
      <c r="BQ800" s="31"/>
      <c r="BR800" s="31"/>
      <c r="BS800" s="31"/>
      <c r="BT800" s="31"/>
      <c r="BU800" s="31"/>
      <c r="BV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31"/>
      <c r="BH801" s="31"/>
      <c r="BI801" s="31"/>
      <c r="BJ801" s="31"/>
      <c r="BK801" s="31"/>
      <c r="BL801" s="31"/>
      <c r="BM801" s="31"/>
      <c r="BN801" s="31"/>
      <c r="BO801" s="31"/>
      <c r="BP801" s="31"/>
      <c r="BQ801" s="31"/>
      <c r="BR801" s="31"/>
      <c r="BS801" s="31"/>
      <c r="BT801" s="31"/>
      <c r="BU801" s="31"/>
      <c r="BV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1"/>
      <c r="BE802" s="31"/>
      <c r="BF802" s="31"/>
      <c r="BG802" s="31"/>
      <c r="BH802" s="31"/>
      <c r="BI802" s="31"/>
      <c r="BJ802" s="31"/>
      <c r="BK802" s="31"/>
      <c r="BL802" s="31"/>
      <c r="BM802" s="31"/>
      <c r="BN802" s="31"/>
      <c r="BO802" s="31"/>
      <c r="BP802" s="31"/>
      <c r="BQ802" s="31"/>
      <c r="BR802" s="31"/>
      <c r="BS802" s="31"/>
      <c r="BT802" s="31"/>
      <c r="BU802" s="31"/>
      <c r="BV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1"/>
      <c r="BE803" s="31"/>
      <c r="BF803" s="31"/>
      <c r="BG803" s="31"/>
      <c r="BH803" s="31"/>
      <c r="BI803" s="31"/>
      <c r="BJ803" s="31"/>
      <c r="BK803" s="31"/>
      <c r="BL803" s="31"/>
      <c r="BM803" s="31"/>
      <c r="BN803" s="31"/>
      <c r="BO803" s="31"/>
      <c r="BP803" s="31"/>
      <c r="BQ803" s="31"/>
      <c r="BR803" s="31"/>
      <c r="BS803" s="31"/>
      <c r="BT803" s="31"/>
      <c r="BU803" s="31"/>
      <c r="BV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1"/>
      <c r="BE804" s="31"/>
      <c r="BF804" s="31"/>
      <c r="BG804" s="31"/>
      <c r="BH804" s="31"/>
      <c r="BI804" s="31"/>
      <c r="BJ804" s="31"/>
      <c r="BK804" s="31"/>
      <c r="BL804" s="31"/>
      <c r="BM804" s="31"/>
      <c r="BN804" s="31"/>
      <c r="BO804" s="31"/>
      <c r="BP804" s="31"/>
      <c r="BQ804" s="31"/>
      <c r="BR804" s="31"/>
      <c r="BS804" s="31"/>
      <c r="BT804" s="31"/>
      <c r="BU804" s="31"/>
      <c r="BV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31"/>
      <c r="BH805" s="31"/>
      <c r="BI805" s="31"/>
      <c r="BJ805" s="31"/>
      <c r="BK805" s="31"/>
      <c r="BL805" s="31"/>
      <c r="BM805" s="31"/>
      <c r="BN805" s="31"/>
      <c r="BO805" s="31"/>
      <c r="BP805" s="31"/>
      <c r="BQ805" s="31"/>
      <c r="BR805" s="31"/>
      <c r="BS805" s="31"/>
      <c r="BT805" s="31"/>
      <c r="BU805" s="31"/>
      <c r="BV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1"/>
      <c r="BE806" s="31"/>
      <c r="BF806" s="31"/>
      <c r="BG806" s="31"/>
      <c r="BH806" s="31"/>
      <c r="BI806" s="31"/>
      <c r="BJ806" s="31"/>
      <c r="BK806" s="31"/>
      <c r="BL806" s="31"/>
      <c r="BM806" s="31"/>
      <c r="BN806" s="31"/>
      <c r="BO806" s="31"/>
      <c r="BP806" s="31"/>
      <c r="BQ806" s="31"/>
      <c r="BR806" s="31"/>
      <c r="BS806" s="31"/>
      <c r="BT806" s="31"/>
      <c r="BU806" s="31"/>
      <c r="BV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31"/>
      <c r="BH807" s="31"/>
      <c r="BI807" s="31"/>
      <c r="BJ807" s="31"/>
      <c r="BK807" s="31"/>
      <c r="BL807" s="31"/>
      <c r="BM807" s="31"/>
      <c r="BN807" s="31"/>
      <c r="BO807" s="31"/>
      <c r="BP807" s="31"/>
      <c r="BQ807" s="31"/>
      <c r="BR807" s="31"/>
      <c r="BS807" s="31"/>
      <c r="BT807" s="31"/>
      <c r="BU807" s="31"/>
      <c r="BV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1"/>
      <c r="BE808" s="31"/>
      <c r="BF808" s="31"/>
      <c r="BG808" s="31"/>
      <c r="BH808" s="31"/>
      <c r="BI808" s="31"/>
      <c r="BJ808" s="31"/>
      <c r="BK808" s="31"/>
      <c r="BL808" s="31"/>
      <c r="BM808" s="31"/>
      <c r="BN808" s="31"/>
      <c r="BO808" s="31"/>
      <c r="BP808" s="31"/>
      <c r="BQ808" s="31"/>
      <c r="BR808" s="31"/>
      <c r="BS808" s="31"/>
      <c r="BT808" s="31"/>
      <c r="BU808" s="31"/>
      <c r="BV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31"/>
      <c r="BH809" s="31"/>
      <c r="BI809" s="31"/>
      <c r="BJ809" s="31"/>
      <c r="BK809" s="31"/>
      <c r="BL809" s="31"/>
      <c r="BM809" s="31"/>
      <c r="BN809" s="31"/>
      <c r="BO809" s="31"/>
      <c r="BP809" s="31"/>
      <c r="BQ809" s="31"/>
      <c r="BR809" s="31"/>
      <c r="BS809" s="31"/>
      <c r="BT809" s="31"/>
      <c r="BU809" s="31"/>
      <c r="BV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1"/>
      <c r="BE810" s="31"/>
      <c r="BF810" s="31"/>
      <c r="BG810" s="31"/>
      <c r="BH810" s="31"/>
      <c r="BI810" s="31"/>
      <c r="BJ810" s="31"/>
      <c r="BK810" s="31"/>
      <c r="BL810" s="31"/>
      <c r="BM810" s="31"/>
      <c r="BN810" s="31"/>
      <c r="BO810" s="31"/>
      <c r="BP810" s="31"/>
      <c r="BQ810" s="31"/>
      <c r="BR810" s="31"/>
      <c r="BS810" s="31"/>
      <c r="BT810" s="31"/>
      <c r="BU810" s="31"/>
      <c r="BV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31"/>
      <c r="BH811" s="31"/>
      <c r="BI811" s="31"/>
      <c r="BJ811" s="31"/>
      <c r="BK811" s="31"/>
      <c r="BL811" s="31"/>
      <c r="BM811" s="31"/>
      <c r="BN811" s="31"/>
      <c r="BO811" s="31"/>
      <c r="BP811" s="31"/>
      <c r="BQ811" s="31"/>
      <c r="BR811" s="31"/>
      <c r="BS811" s="31"/>
      <c r="BT811" s="31"/>
      <c r="BU811" s="31"/>
      <c r="BV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1"/>
      <c r="BE812" s="31"/>
      <c r="BF812" s="31"/>
      <c r="BG812" s="31"/>
      <c r="BH812" s="31"/>
      <c r="BI812" s="31"/>
      <c r="BJ812" s="31"/>
      <c r="BK812" s="31"/>
      <c r="BL812" s="31"/>
      <c r="BM812" s="31"/>
      <c r="BN812" s="31"/>
      <c r="BO812" s="31"/>
      <c r="BP812" s="31"/>
      <c r="BQ812" s="31"/>
      <c r="BR812" s="31"/>
      <c r="BS812" s="31"/>
      <c r="BT812" s="31"/>
      <c r="BU812" s="31"/>
      <c r="BV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1"/>
      <c r="BI813" s="31"/>
      <c r="BJ813" s="31"/>
      <c r="BK813" s="31"/>
      <c r="BL813" s="31"/>
      <c r="BM813" s="31"/>
      <c r="BN813" s="31"/>
      <c r="BO813" s="31"/>
      <c r="BP813" s="31"/>
      <c r="BQ813" s="31"/>
      <c r="BR813" s="31"/>
      <c r="BS813" s="31"/>
      <c r="BT813" s="31"/>
      <c r="BU813" s="31"/>
      <c r="BV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31"/>
      <c r="BH814" s="31"/>
      <c r="BI814" s="31"/>
      <c r="BJ814" s="31"/>
      <c r="BK814" s="31"/>
      <c r="BL814" s="31"/>
      <c r="BM814" s="31"/>
      <c r="BN814" s="31"/>
      <c r="BO814" s="31"/>
      <c r="BP814" s="31"/>
      <c r="BQ814" s="31"/>
      <c r="BR814" s="31"/>
      <c r="BS814" s="31"/>
      <c r="BT814" s="31"/>
      <c r="BU814" s="31"/>
      <c r="BV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31"/>
      <c r="BJ815" s="31"/>
      <c r="BK815" s="31"/>
      <c r="BL815" s="31"/>
      <c r="BM815" s="31"/>
      <c r="BN815" s="31"/>
      <c r="BO815" s="31"/>
      <c r="BP815" s="31"/>
      <c r="BQ815" s="31"/>
      <c r="BR815" s="31"/>
      <c r="BS815" s="31"/>
      <c r="BT815" s="31"/>
      <c r="BU815" s="31"/>
      <c r="BV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31"/>
      <c r="BH816" s="31"/>
      <c r="BI816" s="31"/>
      <c r="BJ816" s="31"/>
      <c r="BK816" s="31"/>
      <c r="BL816" s="31"/>
      <c r="BM816" s="31"/>
      <c r="BN816" s="31"/>
      <c r="BO816" s="31"/>
      <c r="BP816" s="31"/>
      <c r="BQ816" s="31"/>
      <c r="BR816" s="31"/>
      <c r="BS816" s="31"/>
      <c r="BT816" s="31"/>
      <c r="BU816" s="31"/>
      <c r="BV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1"/>
      <c r="BE817" s="31"/>
      <c r="BF817" s="31"/>
      <c r="BG817" s="31"/>
      <c r="BH817" s="31"/>
      <c r="BI817" s="31"/>
      <c r="BJ817" s="31"/>
      <c r="BK817" s="31"/>
      <c r="BL817" s="31"/>
      <c r="BM817" s="31"/>
      <c r="BN817" s="31"/>
      <c r="BO817" s="31"/>
      <c r="BP817" s="31"/>
      <c r="BQ817" s="31"/>
      <c r="BR817" s="31"/>
      <c r="BS817" s="31"/>
      <c r="BT817" s="31"/>
      <c r="BU817" s="31"/>
      <c r="BV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31"/>
      <c r="BH818" s="31"/>
      <c r="BI818" s="31"/>
      <c r="BJ818" s="31"/>
      <c r="BK818" s="31"/>
      <c r="BL818" s="31"/>
      <c r="BM818" s="31"/>
      <c r="BN818" s="31"/>
      <c r="BO818" s="31"/>
      <c r="BP818" s="31"/>
      <c r="BQ818" s="31"/>
      <c r="BR818" s="31"/>
      <c r="BS818" s="31"/>
      <c r="BT818" s="31"/>
      <c r="BU818" s="31"/>
      <c r="BV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1"/>
      <c r="BE819" s="31"/>
      <c r="BF819" s="31"/>
      <c r="BG819" s="31"/>
      <c r="BH819" s="31"/>
      <c r="BI819" s="31"/>
      <c r="BJ819" s="31"/>
      <c r="BK819" s="31"/>
      <c r="BL819" s="31"/>
      <c r="BM819" s="31"/>
      <c r="BN819" s="31"/>
      <c r="BO819" s="31"/>
      <c r="BP819" s="31"/>
      <c r="BQ819" s="31"/>
      <c r="BR819" s="31"/>
      <c r="BS819" s="31"/>
      <c r="BT819" s="31"/>
      <c r="BU819" s="31"/>
      <c r="BV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31"/>
      <c r="BH820" s="31"/>
      <c r="BI820" s="31"/>
      <c r="BJ820" s="31"/>
      <c r="BK820" s="31"/>
      <c r="BL820" s="31"/>
      <c r="BM820" s="31"/>
      <c r="BN820" s="31"/>
      <c r="BO820" s="31"/>
      <c r="BP820" s="31"/>
      <c r="BQ820" s="31"/>
      <c r="BR820" s="31"/>
      <c r="BS820" s="31"/>
      <c r="BT820" s="31"/>
      <c r="BU820" s="31"/>
      <c r="BV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1"/>
      <c r="BE821" s="31"/>
      <c r="BF821" s="31"/>
      <c r="BG821" s="31"/>
      <c r="BH821" s="31"/>
      <c r="BI821" s="31"/>
      <c r="BJ821" s="31"/>
      <c r="BK821" s="31"/>
      <c r="BL821" s="31"/>
      <c r="BM821" s="31"/>
      <c r="BN821" s="31"/>
      <c r="BO821" s="31"/>
      <c r="BP821" s="31"/>
      <c r="BQ821" s="31"/>
      <c r="BR821" s="31"/>
      <c r="BS821" s="31"/>
      <c r="BT821" s="31"/>
      <c r="BU821" s="31"/>
      <c r="BV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31"/>
      <c r="BH822" s="31"/>
      <c r="BI822" s="31"/>
      <c r="BJ822" s="31"/>
      <c r="BK822" s="31"/>
      <c r="BL822" s="31"/>
      <c r="BM822" s="31"/>
      <c r="BN822" s="31"/>
      <c r="BO822" s="31"/>
      <c r="BP822" s="31"/>
      <c r="BQ822" s="31"/>
      <c r="BR822" s="31"/>
      <c r="BS822" s="31"/>
      <c r="BT822" s="31"/>
      <c r="BU822" s="31"/>
      <c r="BV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1"/>
      <c r="BE823" s="31"/>
      <c r="BF823" s="31"/>
      <c r="BG823" s="31"/>
      <c r="BH823" s="31"/>
      <c r="BI823" s="31"/>
      <c r="BJ823" s="31"/>
      <c r="BK823" s="31"/>
      <c r="BL823" s="31"/>
      <c r="BM823" s="31"/>
      <c r="BN823" s="31"/>
      <c r="BO823" s="31"/>
      <c r="BP823" s="31"/>
      <c r="BQ823" s="31"/>
      <c r="BR823" s="31"/>
      <c r="BS823" s="31"/>
      <c r="BT823" s="31"/>
      <c r="BU823" s="31"/>
      <c r="BV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31"/>
      <c r="BH824" s="31"/>
      <c r="BI824" s="31"/>
      <c r="BJ824" s="31"/>
      <c r="BK824" s="31"/>
      <c r="BL824" s="31"/>
      <c r="BM824" s="31"/>
      <c r="BN824" s="31"/>
      <c r="BO824" s="31"/>
      <c r="BP824" s="31"/>
      <c r="BQ824" s="31"/>
      <c r="BR824" s="31"/>
      <c r="BS824" s="31"/>
      <c r="BT824" s="31"/>
      <c r="BU824" s="31"/>
      <c r="BV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1"/>
      <c r="BE825" s="31"/>
      <c r="BF825" s="31"/>
      <c r="BG825" s="31"/>
      <c r="BH825" s="31"/>
      <c r="BI825" s="31"/>
      <c r="BJ825" s="31"/>
      <c r="BK825" s="31"/>
      <c r="BL825" s="31"/>
      <c r="BM825" s="31"/>
      <c r="BN825" s="31"/>
      <c r="BO825" s="31"/>
      <c r="BP825" s="31"/>
      <c r="BQ825" s="31"/>
      <c r="BR825" s="31"/>
      <c r="BS825" s="31"/>
      <c r="BT825" s="31"/>
      <c r="BU825" s="31"/>
      <c r="BV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31"/>
      <c r="BH826" s="31"/>
      <c r="BI826" s="31"/>
      <c r="BJ826" s="31"/>
      <c r="BK826" s="31"/>
      <c r="BL826" s="31"/>
      <c r="BM826" s="31"/>
      <c r="BN826" s="31"/>
      <c r="BO826" s="31"/>
      <c r="BP826" s="31"/>
      <c r="BQ826" s="31"/>
      <c r="BR826" s="31"/>
      <c r="BS826" s="31"/>
      <c r="BT826" s="31"/>
      <c r="BU826" s="31"/>
      <c r="BV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1"/>
      <c r="BE827" s="31"/>
      <c r="BF827" s="31"/>
      <c r="BG827" s="31"/>
      <c r="BH827" s="31"/>
      <c r="BI827" s="31"/>
      <c r="BJ827" s="31"/>
      <c r="BK827" s="31"/>
      <c r="BL827" s="31"/>
      <c r="BM827" s="31"/>
      <c r="BN827" s="31"/>
      <c r="BO827" s="31"/>
      <c r="BP827" s="31"/>
      <c r="BQ827" s="31"/>
      <c r="BR827" s="31"/>
      <c r="BS827" s="31"/>
      <c r="BT827" s="31"/>
      <c r="BU827" s="31"/>
      <c r="BV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31"/>
      <c r="BH828" s="31"/>
      <c r="BI828" s="31"/>
      <c r="BJ828" s="31"/>
      <c r="BK828" s="31"/>
      <c r="BL828" s="31"/>
      <c r="BM828" s="31"/>
      <c r="BN828" s="31"/>
      <c r="BO828" s="31"/>
      <c r="BP828" s="31"/>
      <c r="BQ828" s="31"/>
      <c r="BR828" s="31"/>
      <c r="BS828" s="31"/>
      <c r="BT828" s="31"/>
      <c r="BU828" s="31"/>
      <c r="BV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1"/>
      <c r="BE829" s="31"/>
      <c r="BF829" s="31"/>
      <c r="BG829" s="31"/>
      <c r="BH829" s="31"/>
      <c r="BI829" s="31"/>
      <c r="BJ829" s="31"/>
      <c r="BK829" s="31"/>
      <c r="BL829" s="31"/>
      <c r="BM829" s="31"/>
      <c r="BN829" s="31"/>
      <c r="BO829" s="31"/>
      <c r="BP829" s="31"/>
      <c r="BQ829" s="31"/>
      <c r="BR829" s="31"/>
      <c r="BS829" s="31"/>
      <c r="BT829" s="31"/>
      <c r="BU829" s="31"/>
      <c r="BV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31"/>
      <c r="BH830" s="31"/>
      <c r="BI830" s="31"/>
      <c r="BJ830" s="31"/>
      <c r="BK830" s="31"/>
      <c r="BL830" s="31"/>
      <c r="BM830" s="31"/>
      <c r="BN830" s="31"/>
      <c r="BO830" s="31"/>
      <c r="BP830" s="31"/>
      <c r="BQ830" s="31"/>
      <c r="BR830" s="31"/>
      <c r="BS830" s="31"/>
      <c r="BT830" s="31"/>
      <c r="BU830" s="31"/>
      <c r="BV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1"/>
      <c r="BE831" s="31"/>
      <c r="BF831" s="31"/>
      <c r="BG831" s="31"/>
      <c r="BH831" s="31"/>
      <c r="BI831" s="31"/>
      <c r="BJ831" s="31"/>
      <c r="BK831" s="31"/>
      <c r="BL831" s="31"/>
      <c r="BM831" s="31"/>
      <c r="BN831" s="31"/>
      <c r="BO831" s="31"/>
      <c r="BP831" s="31"/>
      <c r="BQ831" s="31"/>
      <c r="BR831" s="31"/>
      <c r="BS831" s="31"/>
      <c r="BT831" s="31"/>
      <c r="BU831" s="31"/>
      <c r="BV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31"/>
      <c r="BH832" s="31"/>
      <c r="BI832" s="31"/>
      <c r="BJ832" s="31"/>
      <c r="BK832" s="31"/>
      <c r="BL832" s="31"/>
      <c r="BM832" s="31"/>
      <c r="BN832" s="31"/>
      <c r="BO832" s="31"/>
      <c r="BP832" s="31"/>
      <c r="BQ832" s="31"/>
      <c r="BR832" s="31"/>
      <c r="BS832" s="31"/>
      <c r="BT832" s="31"/>
      <c r="BU832" s="31"/>
      <c r="BV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1"/>
      <c r="BE833" s="31"/>
      <c r="BF833" s="31"/>
      <c r="BG833" s="31"/>
      <c r="BH833" s="31"/>
      <c r="BI833" s="31"/>
      <c r="BJ833" s="31"/>
      <c r="BK833" s="31"/>
      <c r="BL833" s="31"/>
      <c r="BM833" s="31"/>
      <c r="BN833" s="31"/>
      <c r="BO833" s="31"/>
      <c r="BP833" s="31"/>
      <c r="BQ833" s="31"/>
      <c r="BR833" s="31"/>
      <c r="BS833" s="31"/>
      <c r="BT833" s="31"/>
      <c r="BU833" s="31"/>
      <c r="BV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31"/>
      <c r="BH834" s="31"/>
      <c r="BI834" s="31"/>
      <c r="BJ834" s="31"/>
      <c r="BK834" s="31"/>
      <c r="BL834" s="31"/>
      <c r="BM834" s="31"/>
      <c r="BN834" s="31"/>
      <c r="BO834" s="31"/>
      <c r="BP834" s="31"/>
      <c r="BQ834" s="31"/>
      <c r="BR834" s="31"/>
      <c r="BS834" s="31"/>
      <c r="BT834" s="31"/>
      <c r="BU834" s="31"/>
      <c r="BV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1"/>
      <c r="BE835" s="31"/>
      <c r="BF835" s="31"/>
      <c r="BG835" s="31"/>
      <c r="BH835" s="31"/>
      <c r="BI835" s="31"/>
      <c r="BJ835" s="31"/>
      <c r="BK835" s="31"/>
      <c r="BL835" s="31"/>
      <c r="BM835" s="31"/>
      <c r="BN835" s="31"/>
      <c r="BO835" s="31"/>
      <c r="BP835" s="31"/>
      <c r="BQ835" s="31"/>
      <c r="BR835" s="31"/>
      <c r="BS835" s="31"/>
      <c r="BT835" s="31"/>
      <c r="BU835" s="31"/>
      <c r="BV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31"/>
      <c r="BH836" s="31"/>
      <c r="BI836" s="31"/>
      <c r="BJ836" s="31"/>
      <c r="BK836" s="31"/>
      <c r="BL836" s="31"/>
      <c r="BM836" s="31"/>
      <c r="BN836" s="31"/>
      <c r="BO836" s="31"/>
      <c r="BP836" s="31"/>
      <c r="BQ836" s="31"/>
      <c r="BR836" s="31"/>
      <c r="BS836" s="31"/>
      <c r="BT836" s="31"/>
      <c r="BU836" s="31"/>
      <c r="BV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1"/>
      <c r="BE837" s="31"/>
      <c r="BF837" s="31"/>
      <c r="BG837" s="31"/>
      <c r="BH837" s="31"/>
      <c r="BI837" s="31"/>
      <c r="BJ837" s="31"/>
      <c r="BK837" s="31"/>
      <c r="BL837" s="31"/>
      <c r="BM837" s="31"/>
      <c r="BN837" s="31"/>
      <c r="BO837" s="31"/>
      <c r="BP837" s="31"/>
      <c r="BQ837" s="31"/>
      <c r="BR837" s="31"/>
      <c r="BS837" s="31"/>
      <c r="BT837" s="31"/>
      <c r="BU837" s="31"/>
      <c r="BV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31"/>
      <c r="BH838" s="31"/>
      <c r="BI838" s="31"/>
      <c r="BJ838" s="31"/>
      <c r="BK838" s="31"/>
      <c r="BL838" s="31"/>
      <c r="BM838" s="31"/>
      <c r="BN838" s="31"/>
      <c r="BO838" s="31"/>
      <c r="BP838" s="31"/>
      <c r="BQ838" s="31"/>
      <c r="BR838" s="31"/>
      <c r="BS838" s="31"/>
      <c r="BT838" s="31"/>
      <c r="BU838" s="31"/>
      <c r="BV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1"/>
      <c r="BE839" s="31"/>
      <c r="BF839" s="31"/>
      <c r="BG839" s="31"/>
      <c r="BH839" s="31"/>
      <c r="BI839" s="31"/>
      <c r="BJ839" s="31"/>
      <c r="BK839" s="31"/>
      <c r="BL839" s="31"/>
      <c r="BM839" s="31"/>
      <c r="BN839" s="31"/>
      <c r="BO839" s="31"/>
      <c r="BP839" s="31"/>
      <c r="BQ839" s="31"/>
      <c r="BR839" s="31"/>
      <c r="BS839" s="31"/>
      <c r="BT839" s="31"/>
      <c r="BU839" s="31"/>
      <c r="BV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31"/>
      <c r="BH840" s="31"/>
      <c r="BI840" s="31"/>
      <c r="BJ840" s="31"/>
      <c r="BK840" s="31"/>
      <c r="BL840" s="31"/>
      <c r="BM840" s="31"/>
      <c r="BN840" s="31"/>
      <c r="BO840" s="31"/>
      <c r="BP840" s="31"/>
      <c r="BQ840" s="31"/>
      <c r="BR840" s="31"/>
      <c r="BS840" s="31"/>
      <c r="BT840" s="31"/>
      <c r="BU840" s="31"/>
      <c r="BV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1"/>
      <c r="BE841" s="31"/>
      <c r="BF841" s="31"/>
      <c r="BG841" s="31"/>
      <c r="BH841" s="31"/>
      <c r="BI841" s="31"/>
      <c r="BJ841" s="31"/>
      <c r="BK841" s="31"/>
      <c r="BL841" s="31"/>
      <c r="BM841" s="31"/>
      <c r="BN841" s="31"/>
      <c r="BO841" s="31"/>
      <c r="BP841" s="31"/>
      <c r="BQ841" s="31"/>
      <c r="BR841" s="31"/>
      <c r="BS841" s="31"/>
      <c r="BT841" s="31"/>
      <c r="BU841" s="31"/>
      <c r="BV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31"/>
      <c r="BH842" s="31"/>
      <c r="BI842" s="31"/>
      <c r="BJ842" s="31"/>
      <c r="BK842" s="31"/>
      <c r="BL842" s="31"/>
      <c r="BM842" s="31"/>
      <c r="BN842" s="31"/>
      <c r="BO842" s="31"/>
      <c r="BP842" s="31"/>
      <c r="BQ842" s="31"/>
      <c r="BR842" s="31"/>
      <c r="BS842" s="31"/>
      <c r="BT842" s="31"/>
      <c r="BU842" s="31"/>
      <c r="BV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1"/>
      <c r="BE843" s="31"/>
      <c r="BF843" s="31"/>
      <c r="BG843" s="31"/>
      <c r="BH843" s="31"/>
      <c r="BI843" s="31"/>
      <c r="BJ843" s="31"/>
      <c r="BK843" s="31"/>
      <c r="BL843" s="31"/>
      <c r="BM843" s="31"/>
      <c r="BN843" s="31"/>
      <c r="BO843" s="31"/>
      <c r="BP843" s="31"/>
      <c r="BQ843" s="31"/>
      <c r="BR843" s="31"/>
      <c r="BS843" s="31"/>
      <c r="BT843" s="31"/>
      <c r="BU843" s="31"/>
      <c r="BV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1"/>
      <c r="BE844" s="31"/>
      <c r="BF844" s="31"/>
      <c r="BG844" s="31"/>
      <c r="BH844" s="31"/>
      <c r="BI844" s="31"/>
      <c r="BJ844" s="31"/>
      <c r="BK844" s="31"/>
      <c r="BL844" s="31"/>
      <c r="BM844" s="31"/>
      <c r="BN844" s="31"/>
      <c r="BO844" s="31"/>
      <c r="BP844" s="31"/>
      <c r="BQ844" s="31"/>
      <c r="BR844" s="31"/>
      <c r="BS844" s="31"/>
      <c r="BT844" s="31"/>
      <c r="BU844" s="31"/>
      <c r="BV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1"/>
      <c r="BE845" s="31"/>
      <c r="BF845" s="31"/>
      <c r="BG845" s="31"/>
      <c r="BH845" s="31"/>
      <c r="BI845" s="31"/>
      <c r="BJ845" s="31"/>
      <c r="BK845" s="31"/>
      <c r="BL845" s="31"/>
      <c r="BM845" s="31"/>
      <c r="BN845" s="31"/>
      <c r="BO845" s="31"/>
      <c r="BP845" s="31"/>
      <c r="BQ845" s="31"/>
      <c r="BR845" s="31"/>
      <c r="BS845" s="31"/>
      <c r="BT845" s="31"/>
      <c r="BU845" s="31"/>
      <c r="BV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31"/>
      <c r="BH846" s="31"/>
      <c r="BI846" s="31"/>
      <c r="BJ846" s="31"/>
      <c r="BK846" s="31"/>
      <c r="BL846" s="31"/>
      <c r="BM846" s="31"/>
      <c r="BN846" s="31"/>
      <c r="BO846" s="31"/>
      <c r="BP846" s="31"/>
      <c r="BQ846" s="31"/>
      <c r="BR846" s="31"/>
      <c r="BS846" s="31"/>
      <c r="BT846" s="31"/>
      <c r="BU846" s="31"/>
      <c r="BV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1"/>
      <c r="BE847" s="31"/>
      <c r="BF847" s="31"/>
      <c r="BG847" s="31"/>
      <c r="BH847" s="31"/>
      <c r="BI847" s="31"/>
      <c r="BJ847" s="31"/>
      <c r="BK847" s="31"/>
      <c r="BL847" s="31"/>
      <c r="BM847" s="31"/>
      <c r="BN847" s="31"/>
      <c r="BO847" s="31"/>
      <c r="BP847" s="31"/>
      <c r="BQ847" s="31"/>
      <c r="BR847" s="31"/>
      <c r="BS847" s="31"/>
      <c r="BT847" s="31"/>
      <c r="BU847" s="31"/>
      <c r="BV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31"/>
      <c r="BH848" s="31"/>
      <c r="BI848" s="31"/>
      <c r="BJ848" s="31"/>
      <c r="BK848" s="31"/>
      <c r="BL848" s="31"/>
      <c r="BM848" s="31"/>
      <c r="BN848" s="31"/>
      <c r="BO848" s="31"/>
      <c r="BP848" s="31"/>
      <c r="BQ848" s="31"/>
      <c r="BR848" s="31"/>
      <c r="BS848" s="31"/>
      <c r="BT848" s="31"/>
      <c r="BU848" s="31"/>
      <c r="BV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1"/>
      <c r="BE849" s="31"/>
      <c r="BF849" s="31"/>
      <c r="BG849" s="31"/>
      <c r="BH849" s="31"/>
      <c r="BI849" s="31"/>
      <c r="BJ849" s="31"/>
      <c r="BK849" s="31"/>
      <c r="BL849" s="31"/>
      <c r="BM849" s="31"/>
      <c r="BN849" s="31"/>
      <c r="BO849" s="31"/>
      <c r="BP849" s="31"/>
      <c r="BQ849" s="31"/>
      <c r="BR849" s="31"/>
      <c r="BS849" s="31"/>
      <c r="BT849" s="31"/>
      <c r="BU849" s="31"/>
      <c r="BV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1"/>
      <c r="BE850" s="31"/>
      <c r="BF850" s="31"/>
      <c r="BG850" s="31"/>
      <c r="BH850" s="31"/>
      <c r="BI850" s="31"/>
      <c r="BJ850" s="31"/>
      <c r="BK850" s="31"/>
      <c r="BL850" s="31"/>
      <c r="BM850" s="31"/>
      <c r="BN850" s="31"/>
      <c r="BO850" s="31"/>
      <c r="BP850" s="31"/>
      <c r="BQ850" s="31"/>
      <c r="BR850" s="31"/>
      <c r="BS850" s="31"/>
      <c r="BT850" s="31"/>
      <c r="BU850" s="31"/>
      <c r="BV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1"/>
      <c r="BE851" s="31"/>
      <c r="BF851" s="31"/>
      <c r="BG851" s="31"/>
      <c r="BH851" s="31"/>
      <c r="BI851" s="31"/>
      <c r="BJ851" s="31"/>
      <c r="BK851" s="31"/>
      <c r="BL851" s="31"/>
      <c r="BM851" s="31"/>
      <c r="BN851" s="31"/>
      <c r="BO851" s="31"/>
      <c r="BP851" s="31"/>
      <c r="BQ851" s="31"/>
      <c r="BR851" s="31"/>
      <c r="BS851" s="31"/>
      <c r="BT851" s="31"/>
      <c r="BU851" s="31"/>
      <c r="BV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1"/>
      <c r="BE852" s="31"/>
      <c r="BF852" s="31"/>
      <c r="BG852" s="31"/>
      <c r="BH852" s="31"/>
      <c r="BI852" s="31"/>
      <c r="BJ852" s="31"/>
      <c r="BK852" s="31"/>
      <c r="BL852" s="31"/>
      <c r="BM852" s="31"/>
      <c r="BN852" s="31"/>
      <c r="BO852" s="31"/>
      <c r="BP852" s="31"/>
      <c r="BQ852" s="31"/>
      <c r="BR852" s="31"/>
      <c r="BS852" s="31"/>
      <c r="BT852" s="31"/>
      <c r="BU852" s="31"/>
      <c r="BV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1"/>
      <c r="BE853" s="31"/>
      <c r="BF853" s="31"/>
      <c r="BG853" s="31"/>
      <c r="BH853" s="31"/>
      <c r="BI853" s="31"/>
      <c r="BJ853" s="31"/>
      <c r="BK853" s="31"/>
      <c r="BL853" s="31"/>
      <c r="BM853" s="31"/>
      <c r="BN853" s="31"/>
      <c r="BO853" s="31"/>
      <c r="BP853" s="31"/>
      <c r="BQ853" s="31"/>
      <c r="BR853" s="31"/>
      <c r="BS853" s="31"/>
      <c r="BT853" s="31"/>
      <c r="BU853" s="31"/>
      <c r="BV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31"/>
      <c r="BH854" s="31"/>
      <c r="BI854" s="31"/>
      <c r="BJ854" s="31"/>
      <c r="BK854" s="31"/>
      <c r="BL854" s="31"/>
      <c r="BM854" s="31"/>
      <c r="BN854" s="31"/>
      <c r="BO854" s="31"/>
      <c r="BP854" s="31"/>
      <c r="BQ854" s="31"/>
      <c r="BR854" s="31"/>
      <c r="BS854" s="31"/>
      <c r="BT854" s="31"/>
      <c r="BU854" s="31"/>
      <c r="BV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1"/>
      <c r="BE855" s="31"/>
      <c r="BF855" s="31"/>
      <c r="BG855" s="31"/>
      <c r="BH855" s="31"/>
      <c r="BI855" s="31"/>
      <c r="BJ855" s="31"/>
      <c r="BK855" s="31"/>
      <c r="BL855" s="31"/>
      <c r="BM855" s="31"/>
      <c r="BN855" s="31"/>
      <c r="BO855" s="31"/>
      <c r="BP855" s="31"/>
      <c r="BQ855" s="31"/>
      <c r="BR855" s="31"/>
      <c r="BS855" s="31"/>
      <c r="BT855" s="31"/>
      <c r="BU855" s="31"/>
      <c r="BV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31"/>
      <c r="BH856" s="31"/>
      <c r="BI856" s="31"/>
      <c r="BJ856" s="31"/>
      <c r="BK856" s="31"/>
      <c r="BL856" s="31"/>
      <c r="BM856" s="31"/>
      <c r="BN856" s="31"/>
      <c r="BO856" s="31"/>
      <c r="BP856" s="31"/>
      <c r="BQ856" s="31"/>
      <c r="BR856" s="31"/>
      <c r="BS856" s="31"/>
      <c r="BT856" s="31"/>
      <c r="BU856" s="31"/>
      <c r="BV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1"/>
      <c r="BE857" s="31"/>
      <c r="BF857" s="31"/>
      <c r="BG857" s="31"/>
      <c r="BH857" s="31"/>
      <c r="BI857" s="31"/>
      <c r="BJ857" s="31"/>
      <c r="BK857" s="31"/>
      <c r="BL857" s="31"/>
      <c r="BM857" s="31"/>
      <c r="BN857" s="31"/>
      <c r="BO857" s="31"/>
      <c r="BP857" s="31"/>
      <c r="BQ857" s="31"/>
      <c r="BR857" s="31"/>
      <c r="BS857" s="31"/>
      <c r="BT857" s="31"/>
      <c r="BU857" s="31"/>
      <c r="BV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31"/>
      <c r="BH858" s="31"/>
      <c r="BI858" s="31"/>
      <c r="BJ858" s="31"/>
      <c r="BK858" s="31"/>
      <c r="BL858" s="31"/>
      <c r="BM858" s="31"/>
      <c r="BN858" s="31"/>
      <c r="BO858" s="31"/>
      <c r="BP858" s="31"/>
      <c r="BQ858" s="31"/>
      <c r="BR858" s="31"/>
      <c r="BS858" s="31"/>
      <c r="BT858" s="31"/>
      <c r="BU858" s="31"/>
      <c r="BV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1"/>
      <c r="BE859" s="31"/>
      <c r="BF859" s="31"/>
      <c r="BG859" s="31"/>
      <c r="BH859" s="31"/>
      <c r="BI859" s="31"/>
      <c r="BJ859" s="31"/>
      <c r="BK859" s="31"/>
      <c r="BL859" s="31"/>
      <c r="BM859" s="31"/>
      <c r="BN859" s="31"/>
      <c r="BO859" s="31"/>
      <c r="BP859" s="31"/>
      <c r="BQ859" s="31"/>
      <c r="BR859" s="31"/>
      <c r="BS859" s="31"/>
      <c r="BT859" s="31"/>
      <c r="BU859" s="31"/>
      <c r="BV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31"/>
      <c r="BH860" s="31"/>
      <c r="BI860" s="31"/>
      <c r="BJ860" s="31"/>
      <c r="BK860" s="31"/>
      <c r="BL860" s="31"/>
      <c r="BM860" s="31"/>
      <c r="BN860" s="31"/>
      <c r="BO860" s="31"/>
      <c r="BP860" s="31"/>
      <c r="BQ860" s="31"/>
      <c r="BR860" s="31"/>
      <c r="BS860" s="31"/>
      <c r="BT860" s="31"/>
      <c r="BU860" s="31"/>
      <c r="BV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31"/>
      <c r="BH861" s="31"/>
      <c r="BI861" s="31"/>
      <c r="BJ861" s="31"/>
      <c r="BK861" s="31"/>
      <c r="BL861" s="31"/>
      <c r="BM861" s="31"/>
      <c r="BN861" s="31"/>
      <c r="BO861" s="31"/>
      <c r="BP861" s="31"/>
      <c r="BQ861" s="31"/>
      <c r="BR861" s="31"/>
      <c r="BS861" s="31"/>
      <c r="BT861" s="31"/>
      <c r="BU861" s="31"/>
      <c r="BV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31"/>
      <c r="BH862" s="31"/>
      <c r="BI862" s="31"/>
      <c r="BJ862" s="31"/>
      <c r="BK862" s="31"/>
      <c r="BL862" s="31"/>
      <c r="BM862" s="31"/>
      <c r="BN862" s="31"/>
      <c r="BO862" s="31"/>
      <c r="BP862" s="31"/>
      <c r="BQ862" s="31"/>
      <c r="BR862" s="31"/>
      <c r="BS862" s="31"/>
      <c r="BT862" s="31"/>
      <c r="BU862" s="31"/>
      <c r="BV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1"/>
      <c r="BE863" s="31"/>
      <c r="BF863" s="31"/>
      <c r="BG863" s="31"/>
      <c r="BH863" s="31"/>
      <c r="BI863" s="31"/>
      <c r="BJ863" s="31"/>
      <c r="BK863" s="31"/>
      <c r="BL863" s="31"/>
      <c r="BM863" s="31"/>
      <c r="BN863" s="31"/>
      <c r="BO863" s="31"/>
      <c r="BP863" s="31"/>
      <c r="BQ863" s="31"/>
      <c r="BR863" s="31"/>
      <c r="BS863" s="31"/>
      <c r="BT863" s="31"/>
      <c r="BU863" s="31"/>
      <c r="BV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31"/>
      <c r="BH864" s="31"/>
      <c r="BI864" s="31"/>
      <c r="BJ864" s="31"/>
      <c r="BK864" s="31"/>
      <c r="BL864" s="31"/>
      <c r="BM864" s="31"/>
      <c r="BN864" s="31"/>
      <c r="BO864" s="31"/>
      <c r="BP864" s="31"/>
      <c r="BQ864" s="31"/>
      <c r="BR864" s="31"/>
      <c r="BS864" s="31"/>
      <c r="BT864" s="31"/>
      <c r="BU864" s="31"/>
      <c r="BV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1"/>
      <c r="BE865" s="31"/>
      <c r="BF865" s="31"/>
      <c r="BG865" s="31"/>
      <c r="BH865" s="31"/>
      <c r="BI865" s="31"/>
      <c r="BJ865" s="31"/>
      <c r="BK865" s="31"/>
      <c r="BL865" s="31"/>
      <c r="BM865" s="31"/>
      <c r="BN865" s="31"/>
      <c r="BO865" s="31"/>
      <c r="BP865" s="31"/>
      <c r="BQ865" s="31"/>
      <c r="BR865" s="31"/>
      <c r="BS865" s="31"/>
      <c r="BT865" s="31"/>
      <c r="BU865" s="31"/>
      <c r="BV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1"/>
      <c r="BE866" s="31"/>
      <c r="BF866" s="31"/>
      <c r="BG866" s="31"/>
      <c r="BH866" s="31"/>
      <c r="BI866" s="31"/>
      <c r="BJ866" s="31"/>
      <c r="BK866" s="31"/>
      <c r="BL866" s="31"/>
      <c r="BM866" s="31"/>
      <c r="BN866" s="31"/>
      <c r="BO866" s="31"/>
      <c r="BP866" s="31"/>
      <c r="BQ866" s="31"/>
      <c r="BR866" s="31"/>
      <c r="BS866" s="31"/>
      <c r="BT866" s="31"/>
      <c r="BU866" s="31"/>
      <c r="BV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1"/>
      <c r="BE867" s="31"/>
      <c r="BF867" s="31"/>
      <c r="BG867" s="31"/>
      <c r="BH867" s="31"/>
      <c r="BI867" s="31"/>
      <c r="BJ867" s="31"/>
      <c r="BK867" s="31"/>
      <c r="BL867" s="31"/>
      <c r="BM867" s="31"/>
      <c r="BN867" s="31"/>
      <c r="BO867" s="31"/>
      <c r="BP867" s="31"/>
      <c r="BQ867" s="31"/>
      <c r="BR867" s="31"/>
      <c r="BS867" s="31"/>
      <c r="BT867" s="31"/>
      <c r="BU867" s="31"/>
      <c r="BV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31"/>
      <c r="BH868" s="31"/>
      <c r="BI868" s="31"/>
      <c r="BJ868" s="31"/>
      <c r="BK868" s="31"/>
      <c r="BL868" s="31"/>
      <c r="BM868" s="31"/>
      <c r="BN868" s="31"/>
      <c r="BO868" s="31"/>
      <c r="BP868" s="31"/>
      <c r="BQ868" s="31"/>
      <c r="BR868" s="31"/>
      <c r="BS868" s="31"/>
      <c r="BT868" s="31"/>
      <c r="BU868" s="31"/>
      <c r="BV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1"/>
      <c r="BE869" s="31"/>
      <c r="BF869" s="31"/>
      <c r="BG869" s="31"/>
      <c r="BH869" s="31"/>
      <c r="BI869" s="31"/>
      <c r="BJ869" s="31"/>
      <c r="BK869" s="31"/>
      <c r="BL869" s="31"/>
      <c r="BM869" s="31"/>
      <c r="BN869" s="31"/>
      <c r="BO869" s="31"/>
      <c r="BP869" s="31"/>
      <c r="BQ869" s="31"/>
      <c r="BR869" s="31"/>
      <c r="BS869" s="31"/>
      <c r="BT869" s="31"/>
      <c r="BU869" s="31"/>
      <c r="BV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31"/>
      <c r="BH870" s="31"/>
      <c r="BI870" s="31"/>
      <c r="BJ870" s="31"/>
      <c r="BK870" s="31"/>
      <c r="BL870" s="31"/>
      <c r="BM870" s="31"/>
      <c r="BN870" s="31"/>
      <c r="BO870" s="31"/>
      <c r="BP870" s="31"/>
      <c r="BQ870" s="31"/>
      <c r="BR870" s="31"/>
      <c r="BS870" s="31"/>
      <c r="BT870" s="31"/>
      <c r="BU870" s="31"/>
      <c r="BV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1"/>
      <c r="BE871" s="31"/>
      <c r="BF871" s="31"/>
      <c r="BG871" s="31"/>
      <c r="BH871" s="31"/>
      <c r="BI871" s="31"/>
      <c r="BJ871" s="31"/>
      <c r="BK871" s="31"/>
      <c r="BL871" s="31"/>
      <c r="BM871" s="31"/>
      <c r="BN871" s="31"/>
      <c r="BO871" s="31"/>
      <c r="BP871" s="31"/>
      <c r="BQ871" s="31"/>
      <c r="BR871" s="31"/>
      <c r="BS871" s="31"/>
      <c r="BT871" s="31"/>
      <c r="BU871" s="31"/>
      <c r="BV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31"/>
      <c r="BH872" s="31"/>
      <c r="BI872" s="31"/>
      <c r="BJ872" s="31"/>
      <c r="BK872" s="31"/>
      <c r="BL872" s="31"/>
      <c r="BM872" s="31"/>
      <c r="BN872" s="31"/>
      <c r="BO872" s="31"/>
      <c r="BP872" s="31"/>
      <c r="BQ872" s="31"/>
      <c r="BR872" s="31"/>
      <c r="BS872" s="31"/>
      <c r="BT872" s="31"/>
      <c r="BU872" s="31"/>
      <c r="BV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1"/>
      <c r="BE873" s="31"/>
      <c r="BF873" s="31"/>
      <c r="BG873" s="31"/>
      <c r="BH873" s="31"/>
      <c r="BI873" s="31"/>
      <c r="BJ873" s="31"/>
      <c r="BK873" s="31"/>
      <c r="BL873" s="31"/>
      <c r="BM873" s="31"/>
      <c r="BN873" s="31"/>
      <c r="BO873" s="31"/>
      <c r="BP873" s="31"/>
      <c r="BQ873" s="31"/>
      <c r="BR873" s="31"/>
      <c r="BS873" s="31"/>
      <c r="BT873" s="31"/>
      <c r="BU873" s="31"/>
      <c r="BV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31"/>
      <c r="BH874" s="31"/>
      <c r="BI874" s="31"/>
      <c r="BJ874" s="31"/>
      <c r="BK874" s="31"/>
      <c r="BL874" s="31"/>
      <c r="BM874" s="31"/>
      <c r="BN874" s="31"/>
      <c r="BO874" s="31"/>
      <c r="BP874" s="31"/>
      <c r="BQ874" s="31"/>
      <c r="BR874" s="31"/>
      <c r="BS874" s="31"/>
      <c r="BT874" s="31"/>
      <c r="BU874" s="31"/>
      <c r="BV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1"/>
      <c r="BE875" s="31"/>
      <c r="BF875" s="31"/>
      <c r="BG875" s="31"/>
      <c r="BH875" s="31"/>
      <c r="BI875" s="31"/>
      <c r="BJ875" s="31"/>
      <c r="BK875" s="31"/>
      <c r="BL875" s="31"/>
      <c r="BM875" s="31"/>
      <c r="BN875" s="31"/>
      <c r="BO875" s="31"/>
      <c r="BP875" s="31"/>
      <c r="BQ875" s="31"/>
      <c r="BR875" s="31"/>
      <c r="BS875" s="31"/>
      <c r="BT875" s="31"/>
      <c r="BU875" s="31"/>
      <c r="BV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1"/>
      <c r="BE876" s="31"/>
      <c r="BF876" s="31"/>
      <c r="BG876" s="31"/>
      <c r="BH876" s="31"/>
      <c r="BI876" s="31"/>
      <c r="BJ876" s="31"/>
      <c r="BK876" s="31"/>
      <c r="BL876" s="31"/>
      <c r="BM876" s="31"/>
      <c r="BN876" s="31"/>
      <c r="BO876" s="31"/>
      <c r="BP876" s="31"/>
      <c r="BQ876" s="31"/>
      <c r="BR876" s="31"/>
      <c r="BS876" s="31"/>
      <c r="BT876" s="31"/>
      <c r="BU876" s="31"/>
      <c r="BV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1"/>
      <c r="BE877" s="31"/>
      <c r="BF877" s="31"/>
      <c r="BG877" s="31"/>
      <c r="BH877" s="31"/>
      <c r="BI877" s="31"/>
      <c r="BJ877" s="31"/>
      <c r="BK877" s="31"/>
      <c r="BL877" s="31"/>
      <c r="BM877" s="31"/>
      <c r="BN877" s="31"/>
      <c r="BO877" s="31"/>
      <c r="BP877" s="31"/>
      <c r="BQ877" s="31"/>
      <c r="BR877" s="31"/>
      <c r="BS877" s="31"/>
      <c r="BT877" s="31"/>
      <c r="BU877" s="31"/>
      <c r="BV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1"/>
      <c r="BE878" s="31"/>
      <c r="BF878" s="31"/>
      <c r="BG878" s="31"/>
      <c r="BH878" s="31"/>
      <c r="BI878" s="31"/>
      <c r="BJ878" s="31"/>
      <c r="BK878" s="31"/>
      <c r="BL878" s="31"/>
      <c r="BM878" s="31"/>
      <c r="BN878" s="31"/>
      <c r="BO878" s="31"/>
      <c r="BP878" s="31"/>
      <c r="BQ878" s="31"/>
      <c r="BR878" s="31"/>
      <c r="BS878" s="31"/>
      <c r="BT878" s="31"/>
      <c r="BU878" s="31"/>
      <c r="BV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1"/>
      <c r="BE879" s="31"/>
      <c r="BF879" s="31"/>
      <c r="BG879" s="31"/>
      <c r="BH879" s="31"/>
      <c r="BI879" s="31"/>
      <c r="BJ879" s="31"/>
      <c r="BK879" s="31"/>
      <c r="BL879" s="31"/>
      <c r="BM879" s="31"/>
      <c r="BN879" s="31"/>
      <c r="BO879" s="31"/>
      <c r="BP879" s="31"/>
      <c r="BQ879" s="31"/>
      <c r="BR879" s="31"/>
      <c r="BS879" s="31"/>
      <c r="BT879" s="31"/>
      <c r="BU879" s="31"/>
      <c r="BV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31"/>
      <c r="BH880" s="31"/>
      <c r="BI880" s="31"/>
      <c r="BJ880" s="31"/>
      <c r="BK880" s="31"/>
      <c r="BL880" s="31"/>
      <c r="BM880" s="31"/>
      <c r="BN880" s="31"/>
      <c r="BO880" s="31"/>
      <c r="BP880" s="31"/>
      <c r="BQ880" s="31"/>
      <c r="BR880" s="31"/>
      <c r="BS880" s="31"/>
      <c r="BT880" s="31"/>
      <c r="BU880" s="31"/>
      <c r="BV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1"/>
      <c r="BE881" s="31"/>
      <c r="BF881" s="31"/>
      <c r="BG881" s="31"/>
      <c r="BH881" s="31"/>
      <c r="BI881" s="31"/>
      <c r="BJ881" s="31"/>
      <c r="BK881" s="31"/>
      <c r="BL881" s="31"/>
      <c r="BM881" s="31"/>
      <c r="BN881" s="31"/>
      <c r="BO881" s="31"/>
      <c r="BP881" s="31"/>
      <c r="BQ881" s="31"/>
      <c r="BR881" s="31"/>
      <c r="BS881" s="31"/>
      <c r="BT881" s="31"/>
      <c r="BU881" s="31"/>
      <c r="BV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1"/>
      <c r="BE882" s="31"/>
      <c r="BF882" s="31"/>
      <c r="BG882" s="31"/>
      <c r="BH882" s="31"/>
      <c r="BI882" s="31"/>
      <c r="BJ882" s="31"/>
      <c r="BK882" s="31"/>
      <c r="BL882" s="31"/>
      <c r="BM882" s="31"/>
      <c r="BN882" s="31"/>
      <c r="BO882" s="31"/>
      <c r="BP882" s="31"/>
      <c r="BQ882" s="31"/>
      <c r="BR882" s="31"/>
      <c r="BS882" s="31"/>
      <c r="BT882" s="31"/>
      <c r="BU882" s="31"/>
      <c r="BV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1"/>
      <c r="BE883" s="31"/>
      <c r="BF883" s="31"/>
      <c r="BG883" s="31"/>
      <c r="BH883" s="31"/>
      <c r="BI883" s="31"/>
      <c r="BJ883" s="31"/>
      <c r="BK883" s="31"/>
      <c r="BL883" s="31"/>
      <c r="BM883" s="31"/>
      <c r="BN883" s="31"/>
      <c r="BO883" s="31"/>
      <c r="BP883" s="31"/>
      <c r="BQ883" s="31"/>
      <c r="BR883" s="31"/>
      <c r="BS883" s="31"/>
      <c r="BT883" s="31"/>
      <c r="BU883" s="31"/>
      <c r="BV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1"/>
      <c r="BE884" s="31"/>
      <c r="BF884" s="31"/>
      <c r="BG884" s="31"/>
      <c r="BH884" s="31"/>
      <c r="BI884" s="31"/>
      <c r="BJ884" s="31"/>
      <c r="BK884" s="31"/>
      <c r="BL884" s="31"/>
      <c r="BM884" s="31"/>
      <c r="BN884" s="31"/>
      <c r="BO884" s="31"/>
      <c r="BP884" s="31"/>
      <c r="BQ884" s="31"/>
      <c r="BR884" s="31"/>
      <c r="BS884" s="31"/>
      <c r="BT884" s="31"/>
      <c r="BU884" s="31"/>
      <c r="BV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1"/>
      <c r="BE885" s="31"/>
      <c r="BF885" s="31"/>
      <c r="BG885" s="31"/>
      <c r="BH885" s="31"/>
      <c r="BI885" s="31"/>
      <c r="BJ885" s="31"/>
      <c r="BK885" s="31"/>
      <c r="BL885" s="31"/>
      <c r="BM885" s="31"/>
      <c r="BN885" s="31"/>
      <c r="BO885" s="31"/>
      <c r="BP885" s="31"/>
      <c r="BQ885" s="31"/>
      <c r="BR885" s="31"/>
      <c r="BS885" s="31"/>
      <c r="BT885" s="31"/>
      <c r="BU885" s="31"/>
      <c r="BV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1"/>
      <c r="BE886" s="31"/>
      <c r="BF886" s="31"/>
      <c r="BG886" s="31"/>
      <c r="BH886" s="31"/>
      <c r="BI886" s="31"/>
      <c r="BJ886" s="31"/>
      <c r="BK886" s="31"/>
      <c r="BL886" s="31"/>
      <c r="BM886" s="31"/>
      <c r="BN886" s="31"/>
      <c r="BO886" s="31"/>
      <c r="BP886" s="31"/>
      <c r="BQ886" s="31"/>
      <c r="BR886" s="31"/>
      <c r="BS886" s="31"/>
      <c r="BT886" s="31"/>
      <c r="BU886" s="31"/>
      <c r="BV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1"/>
      <c r="BE887" s="31"/>
      <c r="BF887" s="31"/>
      <c r="BG887" s="31"/>
      <c r="BH887" s="31"/>
      <c r="BI887" s="31"/>
      <c r="BJ887" s="31"/>
      <c r="BK887" s="31"/>
      <c r="BL887" s="31"/>
      <c r="BM887" s="31"/>
      <c r="BN887" s="31"/>
      <c r="BO887" s="31"/>
      <c r="BP887" s="31"/>
      <c r="BQ887" s="31"/>
      <c r="BR887" s="31"/>
      <c r="BS887" s="31"/>
      <c r="BT887" s="31"/>
      <c r="BU887" s="31"/>
      <c r="BV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1"/>
      <c r="BE888" s="31"/>
      <c r="BF888" s="31"/>
      <c r="BG888" s="31"/>
      <c r="BH888" s="31"/>
      <c r="BI888" s="31"/>
      <c r="BJ888" s="31"/>
      <c r="BK888" s="31"/>
      <c r="BL888" s="31"/>
      <c r="BM888" s="31"/>
      <c r="BN888" s="31"/>
      <c r="BO888" s="31"/>
      <c r="BP888" s="31"/>
      <c r="BQ888" s="31"/>
      <c r="BR888" s="31"/>
      <c r="BS888" s="31"/>
      <c r="BT888" s="31"/>
      <c r="BU888" s="31"/>
      <c r="BV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1"/>
      <c r="BE889" s="31"/>
      <c r="BF889" s="31"/>
      <c r="BG889" s="31"/>
      <c r="BH889" s="31"/>
      <c r="BI889" s="31"/>
      <c r="BJ889" s="31"/>
      <c r="BK889" s="31"/>
      <c r="BL889" s="31"/>
      <c r="BM889" s="31"/>
      <c r="BN889" s="31"/>
      <c r="BO889" s="31"/>
      <c r="BP889" s="31"/>
      <c r="BQ889" s="31"/>
      <c r="BR889" s="31"/>
      <c r="BS889" s="31"/>
      <c r="BT889" s="31"/>
      <c r="BU889" s="31"/>
      <c r="BV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1"/>
      <c r="BE890" s="31"/>
      <c r="BF890" s="31"/>
      <c r="BG890" s="31"/>
      <c r="BH890" s="31"/>
      <c r="BI890" s="31"/>
      <c r="BJ890" s="31"/>
      <c r="BK890" s="31"/>
      <c r="BL890" s="31"/>
      <c r="BM890" s="31"/>
      <c r="BN890" s="31"/>
      <c r="BO890" s="31"/>
      <c r="BP890" s="31"/>
      <c r="BQ890" s="31"/>
      <c r="BR890" s="31"/>
      <c r="BS890" s="31"/>
      <c r="BT890" s="31"/>
      <c r="BU890" s="31"/>
      <c r="BV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1"/>
      <c r="BE891" s="31"/>
      <c r="BF891" s="31"/>
      <c r="BG891" s="31"/>
      <c r="BH891" s="31"/>
      <c r="BI891" s="31"/>
      <c r="BJ891" s="31"/>
      <c r="BK891" s="31"/>
      <c r="BL891" s="31"/>
      <c r="BM891" s="31"/>
      <c r="BN891" s="31"/>
      <c r="BO891" s="31"/>
      <c r="BP891" s="31"/>
      <c r="BQ891" s="31"/>
      <c r="BR891" s="31"/>
      <c r="BS891" s="31"/>
      <c r="BT891" s="31"/>
      <c r="BU891" s="31"/>
      <c r="BV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1"/>
      <c r="BE892" s="31"/>
      <c r="BF892" s="31"/>
      <c r="BG892" s="31"/>
      <c r="BH892" s="31"/>
      <c r="BI892" s="31"/>
      <c r="BJ892" s="31"/>
      <c r="BK892" s="31"/>
      <c r="BL892" s="31"/>
      <c r="BM892" s="31"/>
      <c r="BN892" s="31"/>
      <c r="BO892" s="31"/>
      <c r="BP892" s="31"/>
      <c r="BQ892" s="31"/>
      <c r="BR892" s="31"/>
      <c r="BS892" s="31"/>
      <c r="BT892" s="31"/>
      <c r="BU892" s="31"/>
      <c r="BV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1"/>
      <c r="BE893" s="31"/>
      <c r="BF893" s="31"/>
      <c r="BG893" s="31"/>
      <c r="BH893" s="31"/>
      <c r="BI893" s="31"/>
      <c r="BJ893" s="31"/>
      <c r="BK893" s="31"/>
      <c r="BL893" s="31"/>
      <c r="BM893" s="31"/>
      <c r="BN893" s="31"/>
      <c r="BO893" s="31"/>
      <c r="BP893" s="31"/>
      <c r="BQ893" s="31"/>
      <c r="BR893" s="31"/>
      <c r="BS893" s="31"/>
      <c r="BT893" s="31"/>
      <c r="BU893" s="31"/>
      <c r="BV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31"/>
      <c r="BH894" s="31"/>
      <c r="BI894" s="31"/>
      <c r="BJ894" s="31"/>
      <c r="BK894" s="31"/>
      <c r="BL894" s="31"/>
      <c r="BM894" s="31"/>
      <c r="BN894" s="31"/>
      <c r="BO894" s="31"/>
      <c r="BP894" s="31"/>
      <c r="BQ894" s="31"/>
      <c r="BR894" s="31"/>
      <c r="BS894" s="31"/>
      <c r="BT894" s="31"/>
      <c r="BU894" s="31"/>
      <c r="BV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1"/>
      <c r="BE895" s="31"/>
      <c r="BF895" s="31"/>
      <c r="BG895" s="31"/>
      <c r="BH895" s="31"/>
      <c r="BI895" s="31"/>
      <c r="BJ895" s="31"/>
      <c r="BK895" s="31"/>
      <c r="BL895" s="31"/>
      <c r="BM895" s="31"/>
      <c r="BN895" s="31"/>
      <c r="BO895" s="31"/>
      <c r="BP895" s="31"/>
      <c r="BQ895" s="31"/>
      <c r="BR895" s="31"/>
      <c r="BS895" s="31"/>
      <c r="BT895" s="31"/>
      <c r="BU895" s="31"/>
      <c r="BV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31"/>
      <c r="BH896" s="31"/>
      <c r="BI896" s="31"/>
      <c r="BJ896" s="31"/>
      <c r="BK896" s="31"/>
      <c r="BL896" s="31"/>
      <c r="BM896" s="31"/>
      <c r="BN896" s="31"/>
      <c r="BO896" s="31"/>
      <c r="BP896" s="31"/>
      <c r="BQ896" s="31"/>
      <c r="BR896" s="31"/>
      <c r="BS896" s="31"/>
      <c r="BT896" s="31"/>
      <c r="BU896" s="31"/>
      <c r="BV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1"/>
      <c r="BE897" s="31"/>
      <c r="BF897" s="31"/>
      <c r="BG897" s="31"/>
      <c r="BH897" s="31"/>
      <c r="BI897" s="31"/>
      <c r="BJ897" s="31"/>
      <c r="BK897" s="31"/>
      <c r="BL897" s="31"/>
      <c r="BM897" s="31"/>
      <c r="BN897" s="31"/>
      <c r="BO897" s="31"/>
      <c r="BP897" s="31"/>
      <c r="BQ897" s="31"/>
      <c r="BR897" s="31"/>
      <c r="BS897" s="31"/>
      <c r="BT897" s="31"/>
      <c r="BU897" s="31"/>
      <c r="BV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31"/>
      <c r="BH898" s="31"/>
      <c r="BI898" s="31"/>
      <c r="BJ898" s="31"/>
      <c r="BK898" s="31"/>
      <c r="BL898" s="31"/>
      <c r="BM898" s="31"/>
      <c r="BN898" s="31"/>
      <c r="BO898" s="31"/>
      <c r="BP898" s="31"/>
      <c r="BQ898" s="31"/>
      <c r="BR898" s="31"/>
      <c r="BS898" s="31"/>
      <c r="BT898" s="31"/>
      <c r="BU898" s="31"/>
      <c r="BV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1"/>
      <c r="BE899" s="31"/>
      <c r="BF899" s="31"/>
      <c r="BG899" s="31"/>
      <c r="BH899" s="31"/>
      <c r="BI899" s="31"/>
      <c r="BJ899" s="31"/>
      <c r="BK899" s="31"/>
      <c r="BL899" s="31"/>
      <c r="BM899" s="31"/>
      <c r="BN899" s="31"/>
      <c r="BO899" s="31"/>
      <c r="BP899" s="31"/>
      <c r="BQ899" s="31"/>
      <c r="BR899" s="31"/>
      <c r="BS899" s="31"/>
      <c r="BT899" s="31"/>
      <c r="BU899" s="31"/>
      <c r="BV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31"/>
      <c r="BH900" s="31"/>
      <c r="BI900" s="31"/>
      <c r="BJ900" s="31"/>
      <c r="BK900" s="31"/>
      <c r="BL900" s="31"/>
      <c r="BM900" s="31"/>
      <c r="BN900" s="31"/>
      <c r="BO900" s="31"/>
      <c r="BP900" s="31"/>
      <c r="BQ900" s="31"/>
      <c r="BR900" s="31"/>
      <c r="BS900" s="31"/>
      <c r="BT900" s="31"/>
      <c r="BU900" s="31"/>
      <c r="BV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1"/>
      <c r="BE901" s="31"/>
      <c r="BF901" s="31"/>
      <c r="BG901" s="31"/>
      <c r="BH901" s="31"/>
      <c r="BI901" s="31"/>
      <c r="BJ901" s="31"/>
      <c r="BK901" s="31"/>
      <c r="BL901" s="31"/>
      <c r="BM901" s="31"/>
      <c r="BN901" s="31"/>
      <c r="BO901" s="31"/>
      <c r="BP901" s="31"/>
      <c r="BQ901" s="31"/>
      <c r="BR901" s="31"/>
      <c r="BS901" s="31"/>
      <c r="BT901" s="31"/>
      <c r="BU901" s="31"/>
      <c r="BV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31"/>
      <c r="BH902" s="31"/>
      <c r="BI902" s="31"/>
      <c r="BJ902" s="31"/>
      <c r="BK902" s="31"/>
      <c r="BL902" s="31"/>
      <c r="BM902" s="31"/>
      <c r="BN902" s="31"/>
      <c r="BO902" s="31"/>
      <c r="BP902" s="31"/>
      <c r="BQ902" s="31"/>
      <c r="BR902" s="31"/>
      <c r="BS902" s="31"/>
      <c r="BT902" s="31"/>
      <c r="BU902" s="31"/>
      <c r="BV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1"/>
      <c r="BE903" s="31"/>
      <c r="BF903" s="31"/>
      <c r="BG903" s="31"/>
      <c r="BH903" s="31"/>
      <c r="BI903" s="31"/>
      <c r="BJ903" s="31"/>
      <c r="BK903" s="31"/>
      <c r="BL903" s="31"/>
      <c r="BM903" s="31"/>
      <c r="BN903" s="31"/>
      <c r="BO903" s="31"/>
      <c r="BP903" s="31"/>
      <c r="BQ903" s="31"/>
      <c r="BR903" s="31"/>
      <c r="BS903" s="31"/>
      <c r="BT903" s="31"/>
      <c r="BU903" s="31"/>
      <c r="BV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1"/>
      <c r="BE904" s="31"/>
      <c r="BF904" s="31"/>
      <c r="BG904" s="31"/>
      <c r="BH904" s="31"/>
      <c r="BI904" s="31"/>
      <c r="BJ904" s="31"/>
      <c r="BK904" s="31"/>
      <c r="BL904" s="31"/>
      <c r="BM904" s="31"/>
      <c r="BN904" s="31"/>
      <c r="BO904" s="31"/>
      <c r="BP904" s="31"/>
      <c r="BQ904" s="31"/>
      <c r="BR904" s="31"/>
      <c r="BS904" s="31"/>
      <c r="BT904" s="31"/>
      <c r="BU904" s="31"/>
      <c r="BV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1"/>
      <c r="BE905" s="31"/>
      <c r="BF905" s="31"/>
      <c r="BG905" s="31"/>
      <c r="BH905" s="31"/>
      <c r="BI905" s="31"/>
      <c r="BJ905" s="31"/>
      <c r="BK905" s="31"/>
      <c r="BL905" s="31"/>
      <c r="BM905" s="31"/>
      <c r="BN905" s="31"/>
      <c r="BO905" s="31"/>
      <c r="BP905" s="31"/>
      <c r="BQ905" s="31"/>
      <c r="BR905" s="31"/>
      <c r="BS905" s="31"/>
      <c r="BT905" s="31"/>
      <c r="BU905" s="31"/>
      <c r="BV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31"/>
      <c r="BH906" s="31"/>
      <c r="BI906" s="31"/>
      <c r="BJ906" s="31"/>
      <c r="BK906" s="31"/>
      <c r="BL906" s="31"/>
      <c r="BM906" s="31"/>
      <c r="BN906" s="31"/>
      <c r="BO906" s="31"/>
      <c r="BP906" s="31"/>
      <c r="BQ906" s="31"/>
      <c r="BR906" s="31"/>
      <c r="BS906" s="31"/>
      <c r="BT906" s="31"/>
      <c r="BU906" s="31"/>
      <c r="BV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1"/>
      <c r="BE907" s="31"/>
      <c r="BF907" s="31"/>
      <c r="BG907" s="31"/>
      <c r="BH907" s="31"/>
      <c r="BI907" s="31"/>
      <c r="BJ907" s="31"/>
      <c r="BK907" s="31"/>
      <c r="BL907" s="31"/>
      <c r="BM907" s="31"/>
      <c r="BN907" s="31"/>
      <c r="BO907" s="31"/>
      <c r="BP907" s="31"/>
      <c r="BQ907" s="31"/>
      <c r="BR907" s="31"/>
      <c r="BS907" s="31"/>
      <c r="BT907" s="31"/>
      <c r="BU907" s="31"/>
      <c r="BV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1"/>
      <c r="BE908" s="31"/>
      <c r="BF908" s="31"/>
      <c r="BG908" s="31"/>
      <c r="BH908" s="31"/>
      <c r="BI908" s="31"/>
      <c r="BJ908" s="31"/>
      <c r="BK908" s="31"/>
      <c r="BL908" s="31"/>
      <c r="BM908" s="31"/>
      <c r="BN908" s="31"/>
      <c r="BO908" s="31"/>
      <c r="BP908" s="31"/>
      <c r="BQ908" s="31"/>
      <c r="BR908" s="31"/>
      <c r="BS908" s="31"/>
      <c r="BT908" s="31"/>
      <c r="BU908" s="31"/>
      <c r="BV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31"/>
      <c r="BH909" s="31"/>
      <c r="BI909" s="31"/>
      <c r="BJ909" s="31"/>
      <c r="BK909" s="31"/>
      <c r="BL909" s="31"/>
      <c r="BM909" s="31"/>
      <c r="BN909" s="31"/>
      <c r="BO909" s="31"/>
      <c r="BP909" s="31"/>
      <c r="BQ909" s="31"/>
      <c r="BR909" s="31"/>
      <c r="BS909" s="31"/>
      <c r="BT909" s="31"/>
      <c r="BU909" s="31"/>
      <c r="BV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31"/>
      <c r="BH910" s="31"/>
      <c r="BI910" s="31"/>
      <c r="BJ910" s="31"/>
      <c r="BK910" s="31"/>
      <c r="BL910" s="31"/>
      <c r="BM910" s="31"/>
      <c r="BN910" s="31"/>
      <c r="BO910" s="31"/>
      <c r="BP910" s="31"/>
      <c r="BQ910" s="31"/>
      <c r="BR910" s="31"/>
      <c r="BS910" s="31"/>
      <c r="BT910" s="31"/>
      <c r="BU910" s="31"/>
      <c r="BV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1"/>
      <c r="BE911" s="31"/>
      <c r="BF911" s="31"/>
      <c r="BG911" s="31"/>
      <c r="BH911" s="31"/>
      <c r="BI911" s="31"/>
      <c r="BJ911" s="31"/>
      <c r="BK911" s="31"/>
      <c r="BL911" s="31"/>
      <c r="BM911" s="31"/>
      <c r="BN911" s="31"/>
      <c r="BO911" s="31"/>
      <c r="BP911" s="31"/>
      <c r="BQ911" s="31"/>
      <c r="BR911" s="31"/>
      <c r="BS911" s="31"/>
      <c r="BT911" s="31"/>
      <c r="BU911" s="31"/>
      <c r="BV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31"/>
      <c r="BH912" s="31"/>
      <c r="BI912" s="31"/>
      <c r="BJ912" s="31"/>
      <c r="BK912" s="31"/>
      <c r="BL912" s="31"/>
      <c r="BM912" s="31"/>
      <c r="BN912" s="31"/>
      <c r="BO912" s="31"/>
      <c r="BP912" s="31"/>
      <c r="BQ912" s="31"/>
      <c r="BR912" s="31"/>
      <c r="BS912" s="31"/>
      <c r="BT912" s="31"/>
      <c r="BU912" s="31"/>
      <c r="BV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1"/>
      <c r="BE913" s="31"/>
      <c r="BF913" s="31"/>
      <c r="BG913" s="31"/>
      <c r="BH913" s="31"/>
      <c r="BI913" s="31"/>
      <c r="BJ913" s="31"/>
      <c r="BK913" s="31"/>
      <c r="BL913" s="31"/>
      <c r="BM913" s="31"/>
      <c r="BN913" s="31"/>
      <c r="BO913" s="31"/>
      <c r="BP913" s="31"/>
      <c r="BQ913" s="31"/>
      <c r="BR913" s="31"/>
      <c r="BS913" s="31"/>
      <c r="BT913" s="31"/>
      <c r="BU913" s="31"/>
      <c r="BV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1"/>
      <c r="BE914" s="31"/>
      <c r="BF914" s="31"/>
      <c r="BG914" s="31"/>
      <c r="BH914" s="31"/>
      <c r="BI914" s="31"/>
      <c r="BJ914" s="31"/>
      <c r="BK914" s="31"/>
      <c r="BL914" s="31"/>
      <c r="BM914" s="31"/>
      <c r="BN914" s="31"/>
      <c r="BO914" s="31"/>
      <c r="BP914" s="31"/>
      <c r="BQ914" s="31"/>
      <c r="BR914" s="31"/>
      <c r="BS914" s="31"/>
      <c r="BT914" s="31"/>
      <c r="BU914" s="31"/>
      <c r="BV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1"/>
      <c r="BE915" s="31"/>
      <c r="BF915" s="31"/>
      <c r="BG915" s="31"/>
      <c r="BH915" s="31"/>
      <c r="BI915" s="31"/>
      <c r="BJ915" s="31"/>
      <c r="BK915" s="31"/>
      <c r="BL915" s="31"/>
      <c r="BM915" s="31"/>
      <c r="BN915" s="31"/>
      <c r="BO915" s="31"/>
      <c r="BP915" s="31"/>
      <c r="BQ915" s="31"/>
      <c r="BR915" s="31"/>
      <c r="BS915" s="31"/>
      <c r="BT915" s="31"/>
      <c r="BU915" s="31"/>
      <c r="BV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1"/>
      <c r="BE916" s="31"/>
      <c r="BF916" s="31"/>
      <c r="BG916" s="31"/>
      <c r="BH916" s="31"/>
      <c r="BI916" s="31"/>
      <c r="BJ916" s="31"/>
      <c r="BK916" s="31"/>
      <c r="BL916" s="31"/>
      <c r="BM916" s="31"/>
      <c r="BN916" s="31"/>
      <c r="BO916" s="31"/>
      <c r="BP916" s="31"/>
      <c r="BQ916" s="31"/>
      <c r="BR916" s="31"/>
      <c r="BS916" s="31"/>
      <c r="BT916" s="31"/>
      <c r="BU916" s="31"/>
      <c r="BV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1"/>
      <c r="BE917" s="31"/>
      <c r="BF917" s="31"/>
      <c r="BG917" s="31"/>
      <c r="BH917" s="31"/>
      <c r="BI917" s="31"/>
      <c r="BJ917" s="31"/>
      <c r="BK917" s="31"/>
      <c r="BL917" s="31"/>
      <c r="BM917" s="31"/>
      <c r="BN917" s="31"/>
      <c r="BO917" s="31"/>
      <c r="BP917" s="31"/>
      <c r="BQ917" s="31"/>
      <c r="BR917" s="31"/>
      <c r="BS917" s="31"/>
      <c r="BT917" s="31"/>
      <c r="BU917" s="31"/>
      <c r="BV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1"/>
      <c r="BE918" s="31"/>
      <c r="BF918" s="31"/>
      <c r="BG918" s="31"/>
      <c r="BH918" s="31"/>
      <c r="BI918" s="31"/>
      <c r="BJ918" s="31"/>
      <c r="BK918" s="31"/>
      <c r="BL918" s="31"/>
      <c r="BM918" s="31"/>
      <c r="BN918" s="31"/>
      <c r="BO918" s="31"/>
      <c r="BP918" s="31"/>
      <c r="BQ918" s="31"/>
      <c r="BR918" s="31"/>
      <c r="BS918" s="31"/>
      <c r="BT918" s="31"/>
      <c r="BU918" s="31"/>
      <c r="BV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1"/>
      <c r="BE919" s="31"/>
      <c r="BF919" s="31"/>
      <c r="BG919" s="31"/>
      <c r="BH919" s="31"/>
      <c r="BI919" s="31"/>
      <c r="BJ919" s="31"/>
      <c r="BK919" s="31"/>
      <c r="BL919" s="31"/>
      <c r="BM919" s="31"/>
      <c r="BN919" s="31"/>
      <c r="BO919" s="31"/>
      <c r="BP919" s="31"/>
      <c r="BQ919" s="31"/>
      <c r="BR919" s="31"/>
      <c r="BS919" s="31"/>
      <c r="BT919" s="31"/>
      <c r="BU919" s="31"/>
      <c r="BV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1"/>
      <c r="BE920" s="31"/>
      <c r="BF920" s="31"/>
      <c r="BG920" s="31"/>
      <c r="BH920" s="31"/>
      <c r="BI920" s="31"/>
      <c r="BJ920" s="31"/>
      <c r="BK920" s="31"/>
      <c r="BL920" s="31"/>
      <c r="BM920" s="31"/>
      <c r="BN920" s="31"/>
      <c r="BO920" s="31"/>
      <c r="BP920" s="31"/>
      <c r="BQ920" s="31"/>
      <c r="BR920" s="31"/>
      <c r="BS920" s="31"/>
      <c r="BT920" s="31"/>
      <c r="BU920" s="31"/>
      <c r="BV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1"/>
      <c r="BE921" s="31"/>
      <c r="BF921" s="31"/>
      <c r="BG921" s="31"/>
      <c r="BH921" s="31"/>
      <c r="BI921" s="31"/>
      <c r="BJ921" s="31"/>
      <c r="BK921" s="31"/>
      <c r="BL921" s="31"/>
      <c r="BM921" s="31"/>
      <c r="BN921" s="31"/>
      <c r="BO921" s="31"/>
      <c r="BP921" s="31"/>
      <c r="BQ921" s="31"/>
      <c r="BR921" s="31"/>
      <c r="BS921" s="31"/>
      <c r="BT921" s="31"/>
      <c r="BU921" s="31"/>
      <c r="BV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31"/>
      <c r="BH922" s="31"/>
      <c r="BI922" s="31"/>
      <c r="BJ922" s="31"/>
      <c r="BK922" s="31"/>
      <c r="BL922" s="31"/>
      <c r="BM922" s="31"/>
      <c r="BN922" s="31"/>
      <c r="BO922" s="31"/>
      <c r="BP922" s="31"/>
      <c r="BQ922" s="31"/>
      <c r="BR922" s="31"/>
      <c r="BS922" s="31"/>
      <c r="BT922" s="31"/>
      <c r="BU922" s="31"/>
      <c r="BV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1"/>
      <c r="BE923" s="31"/>
      <c r="BF923" s="31"/>
      <c r="BG923" s="31"/>
      <c r="BH923" s="31"/>
      <c r="BI923" s="31"/>
      <c r="BJ923" s="31"/>
      <c r="BK923" s="31"/>
      <c r="BL923" s="31"/>
      <c r="BM923" s="31"/>
      <c r="BN923" s="31"/>
      <c r="BO923" s="31"/>
      <c r="BP923" s="31"/>
      <c r="BQ923" s="31"/>
      <c r="BR923" s="31"/>
      <c r="BS923" s="31"/>
      <c r="BT923" s="31"/>
      <c r="BU923" s="31"/>
      <c r="BV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31"/>
      <c r="BH924" s="31"/>
      <c r="BI924" s="31"/>
      <c r="BJ924" s="31"/>
      <c r="BK924" s="31"/>
      <c r="BL924" s="31"/>
      <c r="BM924" s="31"/>
      <c r="BN924" s="31"/>
      <c r="BO924" s="31"/>
      <c r="BP924" s="31"/>
      <c r="BQ924" s="31"/>
      <c r="BR924" s="31"/>
      <c r="BS924" s="31"/>
      <c r="BT924" s="31"/>
      <c r="BU924" s="31"/>
      <c r="BV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1"/>
      <c r="BE925" s="31"/>
      <c r="BF925" s="31"/>
      <c r="BG925" s="31"/>
      <c r="BH925" s="31"/>
      <c r="BI925" s="31"/>
      <c r="BJ925" s="31"/>
      <c r="BK925" s="31"/>
      <c r="BL925" s="31"/>
      <c r="BM925" s="31"/>
      <c r="BN925" s="31"/>
      <c r="BO925" s="31"/>
      <c r="BP925" s="31"/>
      <c r="BQ925" s="31"/>
      <c r="BR925" s="31"/>
      <c r="BS925" s="31"/>
      <c r="BT925" s="31"/>
      <c r="BU925" s="31"/>
      <c r="BV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1"/>
      <c r="BE926" s="31"/>
      <c r="BF926" s="31"/>
      <c r="BG926" s="31"/>
      <c r="BH926" s="31"/>
      <c r="BI926" s="31"/>
      <c r="BJ926" s="31"/>
      <c r="BK926" s="31"/>
      <c r="BL926" s="31"/>
      <c r="BM926" s="31"/>
      <c r="BN926" s="31"/>
      <c r="BO926" s="31"/>
      <c r="BP926" s="31"/>
      <c r="BQ926" s="31"/>
      <c r="BR926" s="31"/>
      <c r="BS926" s="31"/>
      <c r="BT926" s="31"/>
      <c r="BU926" s="31"/>
      <c r="BV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1"/>
      <c r="BE927" s="31"/>
      <c r="BF927" s="31"/>
      <c r="BG927" s="31"/>
      <c r="BH927" s="31"/>
      <c r="BI927" s="31"/>
      <c r="BJ927" s="31"/>
      <c r="BK927" s="31"/>
      <c r="BL927" s="31"/>
      <c r="BM927" s="31"/>
      <c r="BN927" s="31"/>
      <c r="BO927" s="31"/>
      <c r="BP927" s="31"/>
      <c r="BQ927" s="31"/>
      <c r="BR927" s="31"/>
      <c r="BS927" s="31"/>
      <c r="BT927" s="31"/>
      <c r="BU927" s="31"/>
      <c r="BV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31"/>
      <c r="BH928" s="31"/>
      <c r="BI928" s="31"/>
      <c r="BJ928" s="31"/>
      <c r="BK928" s="31"/>
      <c r="BL928" s="31"/>
      <c r="BM928" s="31"/>
      <c r="BN928" s="31"/>
      <c r="BO928" s="31"/>
      <c r="BP928" s="31"/>
      <c r="BQ928" s="31"/>
      <c r="BR928" s="31"/>
      <c r="BS928" s="31"/>
      <c r="BT928" s="31"/>
      <c r="BU928" s="31"/>
      <c r="BV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1"/>
      <c r="BE929" s="31"/>
      <c r="BF929" s="31"/>
      <c r="BG929" s="31"/>
      <c r="BH929" s="31"/>
      <c r="BI929" s="31"/>
      <c r="BJ929" s="31"/>
      <c r="BK929" s="31"/>
      <c r="BL929" s="31"/>
      <c r="BM929" s="31"/>
      <c r="BN929" s="31"/>
      <c r="BO929" s="31"/>
      <c r="BP929" s="31"/>
      <c r="BQ929" s="31"/>
      <c r="BR929" s="31"/>
      <c r="BS929" s="31"/>
      <c r="BT929" s="31"/>
      <c r="BU929" s="31"/>
      <c r="BV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1"/>
      <c r="BE930" s="31"/>
      <c r="BF930" s="31"/>
      <c r="BG930" s="31"/>
      <c r="BH930" s="31"/>
      <c r="BI930" s="31"/>
      <c r="BJ930" s="31"/>
      <c r="BK930" s="31"/>
      <c r="BL930" s="31"/>
      <c r="BM930" s="31"/>
      <c r="BN930" s="31"/>
      <c r="BO930" s="31"/>
      <c r="BP930" s="31"/>
      <c r="BQ930" s="31"/>
      <c r="BR930" s="31"/>
      <c r="BS930" s="31"/>
      <c r="BT930" s="31"/>
      <c r="BU930" s="31"/>
      <c r="BV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1"/>
      <c r="BE931" s="31"/>
      <c r="BF931" s="31"/>
      <c r="BG931" s="31"/>
      <c r="BH931" s="31"/>
      <c r="BI931" s="31"/>
      <c r="BJ931" s="31"/>
      <c r="BK931" s="31"/>
      <c r="BL931" s="31"/>
      <c r="BM931" s="31"/>
      <c r="BN931" s="31"/>
      <c r="BO931" s="31"/>
      <c r="BP931" s="31"/>
      <c r="BQ931" s="31"/>
      <c r="BR931" s="31"/>
      <c r="BS931" s="31"/>
      <c r="BT931" s="31"/>
      <c r="BU931" s="31"/>
      <c r="BV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31"/>
      <c r="BH932" s="31"/>
      <c r="BI932" s="31"/>
      <c r="BJ932" s="31"/>
      <c r="BK932" s="31"/>
      <c r="BL932" s="31"/>
      <c r="BM932" s="31"/>
      <c r="BN932" s="31"/>
      <c r="BO932" s="31"/>
      <c r="BP932" s="31"/>
      <c r="BQ932" s="31"/>
      <c r="BR932" s="31"/>
      <c r="BS932" s="31"/>
      <c r="BT932" s="31"/>
      <c r="BU932" s="31"/>
      <c r="BV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1"/>
      <c r="BE933" s="31"/>
      <c r="BF933" s="31"/>
      <c r="BG933" s="31"/>
      <c r="BH933" s="31"/>
      <c r="BI933" s="31"/>
      <c r="BJ933" s="31"/>
      <c r="BK933" s="31"/>
      <c r="BL933" s="31"/>
      <c r="BM933" s="31"/>
      <c r="BN933" s="31"/>
      <c r="BO933" s="31"/>
      <c r="BP933" s="31"/>
      <c r="BQ933" s="31"/>
      <c r="BR933" s="31"/>
      <c r="BS933" s="31"/>
      <c r="BT933" s="31"/>
      <c r="BU933" s="31"/>
      <c r="BV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31"/>
      <c r="BH934" s="31"/>
      <c r="BI934" s="31"/>
      <c r="BJ934" s="31"/>
      <c r="BK934" s="31"/>
      <c r="BL934" s="31"/>
      <c r="BM934" s="31"/>
      <c r="BN934" s="31"/>
      <c r="BO934" s="31"/>
      <c r="BP934" s="31"/>
      <c r="BQ934" s="31"/>
      <c r="BR934" s="31"/>
      <c r="BS934" s="31"/>
      <c r="BT934" s="31"/>
      <c r="BU934" s="31"/>
      <c r="BV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1"/>
      <c r="BE935" s="31"/>
      <c r="BF935" s="31"/>
      <c r="BG935" s="31"/>
      <c r="BH935" s="31"/>
      <c r="BI935" s="31"/>
      <c r="BJ935" s="31"/>
      <c r="BK935" s="31"/>
      <c r="BL935" s="31"/>
      <c r="BM935" s="31"/>
      <c r="BN935" s="31"/>
      <c r="BO935" s="31"/>
      <c r="BP935" s="31"/>
      <c r="BQ935" s="31"/>
      <c r="BR935" s="31"/>
      <c r="BS935" s="31"/>
      <c r="BT935" s="31"/>
      <c r="BU935" s="31"/>
      <c r="BV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1"/>
      <c r="BE936" s="31"/>
      <c r="BF936" s="31"/>
      <c r="BG936" s="31"/>
      <c r="BH936" s="31"/>
      <c r="BI936" s="31"/>
      <c r="BJ936" s="31"/>
      <c r="BK936" s="31"/>
      <c r="BL936" s="31"/>
      <c r="BM936" s="31"/>
      <c r="BN936" s="31"/>
      <c r="BO936" s="31"/>
      <c r="BP936" s="31"/>
      <c r="BQ936" s="31"/>
      <c r="BR936" s="31"/>
      <c r="BS936" s="31"/>
      <c r="BT936" s="31"/>
      <c r="BU936" s="31"/>
      <c r="BV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1"/>
      <c r="BE937" s="31"/>
      <c r="BF937" s="31"/>
      <c r="BG937" s="31"/>
      <c r="BH937" s="31"/>
      <c r="BI937" s="31"/>
      <c r="BJ937" s="31"/>
      <c r="BK937" s="31"/>
      <c r="BL937" s="31"/>
      <c r="BM937" s="31"/>
      <c r="BN937" s="31"/>
      <c r="BO937" s="31"/>
      <c r="BP937" s="31"/>
      <c r="BQ937" s="31"/>
      <c r="BR937" s="31"/>
      <c r="BS937" s="31"/>
      <c r="BT937" s="31"/>
      <c r="BU937" s="31"/>
      <c r="BV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31"/>
      <c r="BH938" s="31"/>
      <c r="BI938" s="31"/>
      <c r="BJ938" s="31"/>
      <c r="BK938" s="31"/>
      <c r="BL938" s="31"/>
      <c r="BM938" s="31"/>
      <c r="BN938" s="31"/>
      <c r="BO938" s="31"/>
      <c r="BP938" s="31"/>
      <c r="BQ938" s="31"/>
      <c r="BR938" s="31"/>
      <c r="BS938" s="31"/>
      <c r="BT938" s="31"/>
      <c r="BU938" s="31"/>
      <c r="BV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1"/>
      <c r="BE939" s="31"/>
      <c r="BF939" s="31"/>
      <c r="BG939" s="31"/>
      <c r="BH939" s="31"/>
      <c r="BI939" s="31"/>
      <c r="BJ939" s="31"/>
      <c r="BK939" s="31"/>
      <c r="BL939" s="31"/>
      <c r="BM939" s="31"/>
      <c r="BN939" s="31"/>
      <c r="BO939" s="31"/>
      <c r="BP939" s="31"/>
      <c r="BQ939" s="31"/>
      <c r="BR939" s="31"/>
      <c r="BS939" s="31"/>
      <c r="BT939" s="31"/>
      <c r="BU939" s="31"/>
      <c r="BV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1"/>
      <c r="BE940" s="31"/>
      <c r="BF940" s="31"/>
      <c r="BG940" s="31"/>
      <c r="BH940" s="31"/>
      <c r="BI940" s="31"/>
      <c r="BJ940" s="31"/>
      <c r="BK940" s="31"/>
      <c r="BL940" s="31"/>
      <c r="BM940" s="31"/>
      <c r="BN940" s="31"/>
      <c r="BO940" s="31"/>
      <c r="BP940" s="31"/>
      <c r="BQ940" s="31"/>
      <c r="BR940" s="31"/>
      <c r="BS940" s="31"/>
      <c r="BT940" s="31"/>
      <c r="BU940" s="31"/>
      <c r="BV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1"/>
      <c r="BE941" s="31"/>
      <c r="BF941" s="31"/>
      <c r="BG941" s="31"/>
      <c r="BH941" s="31"/>
      <c r="BI941" s="31"/>
      <c r="BJ941" s="31"/>
      <c r="BK941" s="31"/>
      <c r="BL941" s="31"/>
      <c r="BM941" s="31"/>
      <c r="BN941" s="31"/>
      <c r="BO941" s="31"/>
      <c r="BP941" s="31"/>
      <c r="BQ941" s="31"/>
      <c r="BR941" s="31"/>
      <c r="BS941" s="31"/>
      <c r="BT941" s="31"/>
      <c r="BU941" s="31"/>
      <c r="BV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1"/>
      <c r="BE942" s="31"/>
      <c r="BF942" s="31"/>
      <c r="BG942" s="31"/>
      <c r="BH942" s="31"/>
      <c r="BI942" s="31"/>
      <c r="BJ942" s="31"/>
      <c r="BK942" s="31"/>
      <c r="BL942" s="31"/>
      <c r="BM942" s="31"/>
      <c r="BN942" s="31"/>
      <c r="BO942" s="31"/>
      <c r="BP942" s="31"/>
      <c r="BQ942" s="31"/>
      <c r="BR942" s="31"/>
      <c r="BS942" s="31"/>
      <c r="BT942" s="31"/>
      <c r="BU942" s="31"/>
      <c r="BV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1"/>
      <c r="BE943" s="31"/>
      <c r="BF943" s="31"/>
      <c r="BG943" s="31"/>
      <c r="BH943" s="31"/>
      <c r="BI943" s="31"/>
      <c r="BJ943" s="31"/>
      <c r="BK943" s="31"/>
      <c r="BL943" s="31"/>
      <c r="BM943" s="31"/>
      <c r="BN943" s="31"/>
      <c r="BO943" s="31"/>
      <c r="BP943" s="31"/>
      <c r="BQ943" s="31"/>
      <c r="BR943" s="31"/>
      <c r="BS943" s="31"/>
      <c r="BT943" s="31"/>
      <c r="BU943" s="31"/>
      <c r="BV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31"/>
      <c r="BH944" s="31"/>
      <c r="BI944" s="31"/>
      <c r="BJ944" s="31"/>
      <c r="BK944" s="31"/>
      <c r="BL944" s="31"/>
      <c r="BM944" s="31"/>
      <c r="BN944" s="31"/>
      <c r="BO944" s="31"/>
      <c r="BP944" s="31"/>
      <c r="BQ944" s="31"/>
      <c r="BR944" s="31"/>
      <c r="BS944" s="31"/>
      <c r="BT944" s="31"/>
      <c r="BU944" s="31"/>
      <c r="BV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1"/>
      <c r="BE945" s="31"/>
      <c r="BF945" s="31"/>
      <c r="BG945" s="31"/>
      <c r="BH945" s="31"/>
      <c r="BI945" s="31"/>
      <c r="BJ945" s="31"/>
      <c r="BK945" s="31"/>
      <c r="BL945" s="31"/>
      <c r="BM945" s="31"/>
      <c r="BN945" s="31"/>
      <c r="BO945" s="31"/>
      <c r="BP945" s="31"/>
      <c r="BQ945" s="31"/>
      <c r="BR945" s="31"/>
      <c r="BS945" s="31"/>
      <c r="BT945" s="31"/>
      <c r="BU945" s="31"/>
      <c r="BV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31"/>
      <c r="BH946" s="31"/>
      <c r="BI946" s="31"/>
      <c r="BJ946" s="31"/>
      <c r="BK946" s="31"/>
      <c r="BL946" s="31"/>
      <c r="BM946" s="31"/>
      <c r="BN946" s="31"/>
      <c r="BO946" s="31"/>
      <c r="BP946" s="31"/>
      <c r="BQ946" s="31"/>
      <c r="BR946" s="31"/>
      <c r="BS946" s="31"/>
      <c r="BT946" s="31"/>
      <c r="BU946" s="31"/>
      <c r="BV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1"/>
      <c r="BE947" s="31"/>
      <c r="BF947" s="31"/>
      <c r="BG947" s="31"/>
      <c r="BH947" s="31"/>
      <c r="BI947" s="31"/>
      <c r="BJ947" s="31"/>
      <c r="BK947" s="31"/>
      <c r="BL947" s="31"/>
      <c r="BM947" s="31"/>
      <c r="BN947" s="31"/>
      <c r="BO947" s="31"/>
      <c r="BP947" s="31"/>
      <c r="BQ947" s="31"/>
      <c r="BR947" s="31"/>
      <c r="BS947" s="31"/>
      <c r="BT947" s="31"/>
      <c r="BU947" s="31"/>
      <c r="BV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31"/>
      <c r="BH948" s="31"/>
      <c r="BI948" s="31"/>
      <c r="BJ948" s="31"/>
      <c r="BK948" s="31"/>
      <c r="BL948" s="31"/>
      <c r="BM948" s="31"/>
      <c r="BN948" s="31"/>
      <c r="BO948" s="31"/>
      <c r="BP948" s="31"/>
      <c r="BQ948" s="31"/>
      <c r="BR948" s="31"/>
      <c r="BS948" s="31"/>
      <c r="BT948" s="31"/>
      <c r="BU948" s="31"/>
      <c r="BV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1"/>
      <c r="BE949" s="31"/>
      <c r="BF949" s="31"/>
      <c r="BG949" s="31"/>
      <c r="BH949" s="31"/>
      <c r="BI949" s="31"/>
      <c r="BJ949" s="31"/>
      <c r="BK949" s="31"/>
      <c r="BL949" s="31"/>
      <c r="BM949" s="31"/>
      <c r="BN949" s="31"/>
      <c r="BO949" s="31"/>
      <c r="BP949" s="31"/>
      <c r="BQ949" s="31"/>
      <c r="BR949" s="31"/>
      <c r="BS949" s="31"/>
      <c r="BT949" s="31"/>
      <c r="BU949" s="31"/>
      <c r="BV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31"/>
      <c r="BH950" s="31"/>
      <c r="BI950" s="31"/>
      <c r="BJ950" s="31"/>
      <c r="BK950" s="31"/>
      <c r="BL950" s="31"/>
      <c r="BM950" s="31"/>
      <c r="BN950" s="31"/>
      <c r="BO950" s="31"/>
      <c r="BP950" s="31"/>
      <c r="BQ950" s="31"/>
      <c r="BR950" s="31"/>
      <c r="BS950" s="31"/>
      <c r="BT950" s="31"/>
      <c r="BU950" s="31"/>
      <c r="BV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1"/>
      <c r="BE951" s="31"/>
      <c r="BF951" s="31"/>
      <c r="BG951" s="31"/>
      <c r="BH951" s="31"/>
      <c r="BI951" s="31"/>
      <c r="BJ951" s="31"/>
      <c r="BK951" s="31"/>
      <c r="BL951" s="31"/>
      <c r="BM951" s="31"/>
      <c r="BN951" s="31"/>
      <c r="BO951" s="31"/>
      <c r="BP951" s="31"/>
      <c r="BQ951" s="31"/>
      <c r="BR951" s="31"/>
      <c r="BS951" s="31"/>
      <c r="BT951" s="31"/>
      <c r="BU951" s="31"/>
      <c r="BV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1"/>
      <c r="BE952" s="31"/>
      <c r="BF952" s="31"/>
      <c r="BG952" s="31"/>
      <c r="BH952" s="31"/>
      <c r="BI952" s="31"/>
      <c r="BJ952" s="31"/>
      <c r="BK952" s="31"/>
      <c r="BL952" s="31"/>
      <c r="BM952" s="31"/>
      <c r="BN952" s="31"/>
      <c r="BO952" s="31"/>
      <c r="BP952" s="31"/>
      <c r="BQ952" s="31"/>
      <c r="BR952" s="31"/>
      <c r="BS952" s="31"/>
      <c r="BT952" s="31"/>
      <c r="BU952" s="31"/>
      <c r="BV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1"/>
      <c r="BE953" s="31"/>
      <c r="BF953" s="31"/>
      <c r="BG953" s="31"/>
      <c r="BH953" s="31"/>
      <c r="BI953" s="31"/>
      <c r="BJ953" s="31"/>
      <c r="BK953" s="31"/>
      <c r="BL953" s="31"/>
      <c r="BM953" s="31"/>
      <c r="BN953" s="31"/>
      <c r="BO953" s="31"/>
      <c r="BP953" s="31"/>
      <c r="BQ953" s="31"/>
      <c r="BR953" s="31"/>
      <c r="BS953" s="31"/>
      <c r="BT953" s="31"/>
      <c r="BU953" s="31"/>
      <c r="BV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1"/>
      <c r="BE954" s="31"/>
      <c r="BF954" s="31"/>
      <c r="BG954" s="31"/>
      <c r="BH954" s="31"/>
      <c r="BI954" s="31"/>
      <c r="BJ954" s="31"/>
      <c r="BK954" s="31"/>
      <c r="BL954" s="31"/>
      <c r="BM954" s="31"/>
      <c r="BN954" s="31"/>
      <c r="BO954" s="31"/>
      <c r="BP954" s="31"/>
      <c r="BQ954" s="31"/>
      <c r="BR954" s="31"/>
      <c r="BS954" s="31"/>
      <c r="BT954" s="31"/>
      <c r="BU954" s="31"/>
      <c r="BV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1"/>
      <c r="BE955" s="31"/>
      <c r="BF955" s="31"/>
      <c r="BG955" s="31"/>
      <c r="BH955" s="31"/>
      <c r="BI955" s="31"/>
      <c r="BJ955" s="31"/>
      <c r="BK955" s="31"/>
      <c r="BL955" s="31"/>
      <c r="BM955" s="31"/>
      <c r="BN955" s="31"/>
      <c r="BO955" s="31"/>
      <c r="BP955" s="31"/>
      <c r="BQ955" s="31"/>
      <c r="BR955" s="31"/>
      <c r="BS955" s="31"/>
      <c r="BT955" s="31"/>
      <c r="BU955" s="31"/>
      <c r="BV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31"/>
      <c r="BH956" s="31"/>
      <c r="BI956" s="31"/>
      <c r="BJ956" s="31"/>
      <c r="BK956" s="31"/>
      <c r="BL956" s="31"/>
      <c r="BM956" s="31"/>
      <c r="BN956" s="31"/>
      <c r="BO956" s="31"/>
      <c r="BP956" s="31"/>
      <c r="BQ956" s="31"/>
      <c r="BR956" s="31"/>
      <c r="BS956" s="31"/>
      <c r="BT956" s="31"/>
      <c r="BU956" s="31"/>
      <c r="BV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31"/>
      <c r="BH957" s="31"/>
      <c r="BI957" s="31"/>
      <c r="BJ957" s="31"/>
      <c r="BK957" s="31"/>
      <c r="BL957" s="31"/>
      <c r="BM957" s="31"/>
      <c r="BN957" s="31"/>
      <c r="BO957" s="31"/>
      <c r="BP957" s="31"/>
      <c r="BQ957" s="31"/>
      <c r="BR957" s="31"/>
      <c r="BS957" s="31"/>
      <c r="BT957" s="31"/>
      <c r="BU957" s="31"/>
      <c r="BV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1"/>
      <c r="BE958" s="31"/>
      <c r="BF958" s="31"/>
      <c r="BG958" s="31"/>
      <c r="BH958" s="31"/>
      <c r="BI958" s="31"/>
      <c r="BJ958" s="31"/>
      <c r="BK958" s="31"/>
      <c r="BL958" s="31"/>
      <c r="BM958" s="31"/>
      <c r="BN958" s="31"/>
      <c r="BO958" s="31"/>
      <c r="BP958" s="31"/>
      <c r="BQ958" s="31"/>
      <c r="BR958" s="31"/>
      <c r="BS958" s="31"/>
      <c r="BT958" s="31"/>
      <c r="BU958" s="31"/>
      <c r="BV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1"/>
      <c r="BE959" s="31"/>
      <c r="BF959" s="31"/>
      <c r="BG959" s="31"/>
      <c r="BH959" s="31"/>
      <c r="BI959" s="31"/>
      <c r="BJ959" s="31"/>
      <c r="BK959" s="31"/>
      <c r="BL959" s="31"/>
      <c r="BM959" s="31"/>
      <c r="BN959" s="31"/>
      <c r="BO959" s="31"/>
      <c r="BP959" s="31"/>
      <c r="BQ959" s="31"/>
      <c r="BR959" s="31"/>
      <c r="BS959" s="31"/>
      <c r="BT959" s="31"/>
      <c r="BU959" s="31"/>
      <c r="BV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31"/>
      <c r="BH960" s="31"/>
      <c r="BI960" s="31"/>
      <c r="BJ960" s="31"/>
      <c r="BK960" s="31"/>
      <c r="BL960" s="31"/>
      <c r="BM960" s="31"/>
      <c r="BN960" s="31"/>
      <c r="BO960" s="31"/>
      <c r="BP960" s="31"/>
      <c r="BQ960" s="31"/>
      <c r="BR960" s="31"/>
      <c r="BS960" s="31"/>
      <c r="BT960" s="31"/>
      <c r="BU960" s="31"/>
      <c r="BV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1"/>
      <c r="BE961" s="31"/>
      <c r="BF961" s="31"/>
      <c r="BG961" s="31"/>
      <c r="BH961" s="31"/>
      <c r="BI961" s="31"/>
      <c r="BJ961" s="31"/>
      <c r="BK961" s="31"/>
      <c r="BL961" s="31"/>
      <c r="BM961" s="31"/>
      <c r="BN961" s="31"/>
      <c r="BO961" s="31"/>
      <c r="BP961" s="31"/>
      <c r="BQ961" s="31"/>
      <c r="BR961" s="31"/>
      <c r="BS961" s="31"/>
      <c r="BT961" s="31"/>
      <c r="BU961" s="31"/>
      <c r="BV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31"/>
      <c r="BH962" s="31"/>
      <c r="BI962" s="31"/>
      <c r="BJ962" s="31"/>
      <c r="BK962" s="31"/>
      <c r="BL962" s="31"/>
      <c r="BM962" s="31"/>
      <c r="BN962" s="31"/>
      <c r="BO962" s="31"/>
      <c r="BP962" s="31"/>
      <c r="BQ962" s="31"/>
      <c r="BR962" s="31"/>
      <c r="BS962" s="31"/>
      <c r="BT962" s="31"/>
      <c r="BU962" s="31"/>
      <c r="BV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1"/>
      <c r="BE963" s="31"/>
      <c r="BF963" s="31"/>
      <c r="BG963" s="31"/>
      <c r="BH963" s="31"/>
      <c r="BI963" s="31"/>
      <c r="BJ963" s="31"/>
      <c r="BK963" s="31"/>
      <c r="BL963" s="31"/>
      <c r="BM963" s="31"/>
      <c r="BN963" s="31"/>
      <c r="BO963" s="31"/>
      <c r="BP963" s="31"/>
      <c r="BQ963" s="31"/>
      <c r="BR963" s="31"/>
      <c r="BS963" s="31"/>
      <c r="BT963" s="31"/>
      <c r="BU963" s="31"/>
      <c r="BV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31"/>
      <c r="BH964" s="31"/>
      <c r="BI964" s="31"/>
      <c r="BJ964" s="31"/>
      <c r="BK964" s="31"/>
      <c r="BL964" s="31"/>
      <c r="BM964" s="31"/>
      <c r="BN964" s="31"/>
      <c r="BO964" s="31"/>
      <c r="BP964" s="31"/>
      <c r="BQ964" s="31"/>
      <c r="BR964" s="31"/>
      <c r="BS964" s="31"/>
      <c r="BT964" s="31"/>
      <c r="BU964" s="31"/>
      <c r="BV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1"/>
      <c r="BE965" s="31"/>
      <c r="BF965" s="31"/>
      <c r="BG965" s="31"/>
      <c r="BH965" s="31"/>
      <c r="BI965" s="31"/>
      <c r="BJ965" s="31"/>
      <c r="BK965" s="31"/>
      <c r="BL965" s="31"/>
      <c r="BM965" s="31"/>
      <c r="BN965" s="31"/>
      <c r="BO965" s="31"/>
      <c r="BP965" s="31"/>
      <c r="BQ965" s="31"/>
      <c r="BR965" s="31"/>
      <c r="BS965" s="31"/>
      <c r="BT965" s="31"/>
      <c r="BU965" s="31"/>
      <c r="BV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31"/>
      <c r="BH966" s="31"/>
      <c r="BI966" s="31"/>
      <c r="BJ966" s="31"/>
      <c r="BK966" s="31"/>
      <c r="BL966" s="31"/>
      <c r="BM966" s="31"/>
      <c r="BN966" s="31"/>
      <c r="BO966" s="31"/>
      <c r="BP966" s="31"/>
      <c r="BQ966" s="31"/>
      <c r="BR966" s="31"/>
      <c r="BS966" s="31"/>
      <c r="BT966" s="31"/>
      <c r="BU966" s="31"/>
      <c r="BV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1"/>
      <c r="BE967" s="31"/>
      <c r="BF967" s="31"/>
      <c r="BG967" s="31"/>
      <c r="BH967" s="31"/>
      <c r="BI967" s="31"/>
      <c r="BJ967" s="31"/>
      <c r="BK967" s="31"/>
      <c r="BL967" s="31"/>
      <c r="BM967" s="31"/>
      <c r="BN967" s="31"/>
      <c r="BO967" s="31"/>
      <c r="BP967" s="31"/>
      <c r="BQ967" s="31"/>
      <c r="BR967" s="31"/>
      <c r="BS967" s="31"/>
      <c r="BT967" s="31"/>
      <c r="BU967" s="31"/>
      <c r="BV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1"/>
      <c r="BE968" s="31"/>
      <c r="BF968" s="31"/>
      <c r="BG968" s="31"/>
      <c r="BH968" s="31"/>
      <c r="BI968" s="31"/>
      <c r="BJ968" s="31"/>
      <c r="BK968" s="31"/>
      <c r="BL968" s="31"/>
      <c r="BM968" s="31"/>
      <c r="BN968" s="31"/>
      <c r="BO968" s="31"/>
      <c r="BP968" s="31"/>
      <c r="BQ968" s="31"/>
      <c r="BR968" s="31"/>
      <c r="BS968" s="31"/>
      <c r="BT968" s="31"/>
      <c r="BU968" s="31"/>
      <c r="BV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1"/>
      <c r="BE969" s="31"/>
      <c r="BF969" s="31"/>
      <c r="BG969" s="31"/>
      <c r="BH969" s="31"/>
      <c r="BI969" s="31"/>
      <c r="BJ969" s="31"/>
      <c r="BK969" s="31"/>
      <c r="BL969" s="31"/>
      <c r="BM969" s="31"/>
      <c r="BN969" s="31"/>
      <c r="BO969" s="31"/>
      <c r="BP969" s="31"/>
      <c r="BQ969" s="31"/>
      <c r="BR969" s="31"/>
      <c r="BS969" s="31"/>
      <c r="BT969" s="31"/>
      <c r="BU969" s="31"/>
      <c r="BV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1"/>
      <c r="BE970" s="31"/>
      <c r="BF970" s="31"/>
      <c r="BG970" s="31"/>
      <c r="BH970" s="31"/>
      <c r="BI970" s="31"/>
      <c r="BJ970" s="31"/>
      <c r="BK970" s="31"/>
      <c r="BL970" s="31"/>
      <c r="BM970" s="31"/>
      <c r="BN970" s="31"/>
      <c r="BO970" s="31"/>
      <c r="BP970" s="31"/>
      <c r="BQ970" s="31"/>
      <c r="BR970" s="31"/>
      <c r="BS970" s="31"/>
      <c r="BT970" s="31"/>
      <c r="BU970" s="31"/>
      <c r="BV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1"/>
      <c r="BE971" s="31"/>
      <c r="BF971" s="31"/>
      <c r="BG971" s="31"/>
      <c r="BH971" s="31"/>
      <c r="BI971" s="31"/>
      <c r="BJ971" s="31"/>
      <c r="BK971" s="31"/>
      <c r="BL971" s="31"/>
      <c r="BM971" s="31"/>
      <c r="BN971" s="31"/>
      <c r="BO971" s="31"/>
      <c r="BP971" s="31"/>
      <c r="BQ971" s="31"/>
      <c r="BR971" s="31"/>
      <c r="BS971" s="31"/>
      <c r="BT971" s="31"/>
      <c r="BU971" s="31"/>
      <c r="BV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1"/>
      <c r="BE972" s="31"/>
      <c r="BF972" s="31"/>
      <c r="BG972" s="31"/>
      <c r="BH972" s="31"/>
      <c r="BI972" s="31"/>
      <c r="BJ972" s="31"/>
      <c r="BK972" s="31"/>
      <c r="BL972" s="31"/>
      <c r="BM972" s="31"/>
      <c r="BN972" s="31"/>
      <c r="BO972" s="31"/>
      <c r="BP972" s="31"/>
      <c r="BQ972" s="31"/>
      <c r="BR972" s="31"/>
      <c r="BS972" s="31"/>
      <c r="BT972" s="31"/>
      <c r="BU972" s="31"/>
      <c r="BV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1"/>
      <c r="BE973" s="31"/>
      <c r="BF973" s="31"/>
      <c r="BG973" s="31"/>
      <c r="BH973" s="31"/>
      <c r="BI973" s="31"/>
      <c r="BJ973" s="31"/>
      <c r="BK973" s="31"/>
      <c r="BL973" s="31"/>
      <c r="BM973" s="31"/>
      <c r="BN973" s="31"/>
      <c r="BO973" s="31"/>
      <c r="BP973" s="31"/>
      <c r="BQ973" s="31"/>
      <c r="BR973" s="31"/>
      <c r="BS973" s="31"/>
      <c r="BT973" s="31"/>
      <c r="BU973" s="31"/>
      <c r="BV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31"/>
      <c r="BH974" s="31"/>
      <c r="BI974" s="31"/>
      <c r="BJ974" s="31"/>
      <c r="BK974" s="31"/>
      <c r="BL974" s="31"/>
      <c r="BM974" s="31"/>
      <c r="BN974" s="31"/>
      <c r="BO974" s="31"/>
      <c r="BP974" s="31"/>
      <c r="BQ974" s="31"/>
      <c r="BR974" s="31"/>
      <c r="BS974" s="31"/>
      <c r="BT974" s="31"/>
      <c r="BU974" s="31"/>
      <c r="BV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1"/>
      <c r="BE975" s="31"/>
      <c r="BF975" s="31"/>
      <c r="BG975" s="31"/>
      <c r="BH975" s="31"/>
      <c r="BI975" s="31"/>
      <c r="BJ975" s="31"/>
      <c r="BK975" s="31"/>
      <c r="BL975" s="31"/>
      <c r="BM975" s="31"/>
      <c r="BN975" s="31"/>
      <c r="BO975" s="31"/>
      <c r="BP975" s="31"/>
      <c r="BQ975" s="31"/>
      <c r="BR975" s="31"/>
      <c r="BS975" s="31"/>
      <c r="BT975" s="31"/>
      <c r="BU975" s="31"/>
      <c r="BV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1"/>
      <c r="BE976" s="31"/>
      <c r="BF976" s="31"/>
      <c r="BG976" s="31"/>
      <c r="BH976" s="31"/>
      <c r="BI976" s="31"/>
      <c r="BJ976" s="31"/>
      <c r="BK976" s="31"/>
      <c r="BL976" s="31"/>
      <c r="BM976" s="31"/>
      <c r="BN976" s="31"/>
      <c r="BO976" s="31"/>
      <c r="BP976" s="31"/>
      <c r="BQ976" s="31"/>
      <c r="BR976" s="31"/>
      <c r="BS976" s="31"/>
      <c r="BT976" s="31"/>
      <c r="BU976" s="31"/>
      <c r="BV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1"/>
      <c r="BE977" s="31"/>
      <c r="BF977" s="31"/>
      <c r="BG977" s="31"/>
      <c r="BH977" s="31"/>
      <c r="BI977" s="31"/>
      <c r="BJ977" s="31"/>
      <c r="BK977" s="31"/>
      <c r="BL977" s="31"/>
      <c r="BM977" s="31"/>
      <c r="BN977" s="31"/>
      <c r="BO977" s="31"/>
      <c r="BP977" s="31"/>
      <c r="BQ977" s="31"/>
      <c r="BR977" s="31"/>
      <c r="BS977" s="31"/>
      <c r="BT977" s="31"/>
      <c r="BU977" s="31"/>
      <c r="BV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31"/>
      <c r="BH978" s="31"/>
      <c r="BI978" s="31"/>
      <c r="BJ978" s="31"/>
      <c r="BK978" s="31"/>
      <c r="BL978" s="31"/>
      <c r="BM978" s="31"/>
      <c r="BN978" s="31"/>
      <c r="BO978" s="31"/>
      <c r="BP978" s="31"/>
      <c r="BQ978" s="31"/>
      <c r="BR978" s="31"/>
      <c r="BS978" s="31"/>
      <c r="BT978" s="31"/>
      <c r="BU978" s="31"/>
      <c r="BV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1"/>
      <c r="BE979" s="31"/>
      <c r="BF979" s="31"/>
      <c r="BG979" s="31"/>
      <c r="BH979" s="31"/>
      <c r="BI979" s="31"/>
      <c r="BJ979" s="31"/>
      <c r="BK979" s="31"/>
      <c r="BL979" s="31"/>
      <c r="BM979" s="31"/>
      <c r="BN979" s="31"/>
      <c r="BO979" s="31"/>
      <c r="BP979" s="31"/>
      <c r="BQ979" s="31"/>
      <c r="BR979" s="31"/>
      <c r="BS979" s="31"/>
      <c r="BT979" s="31"/>
      <c r="BU979" s="31"/>
      <c r="BV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1"/>
      <c r="BE980" s="31"/>
      <c r="BF980" s="31"/>
      <c r="BG980" s="31"/>
      <c r="BH980" s="31"/>
      <c r="BI980" s="31"/>
      <c r="BJ980" s="31"/>
      <c r="BK980" s="31"/>
      <c r="BL980" s="31"/>
      <c r="BM980" s="31"/>
      <c r="BN980" s="31"/>
      <c r="BO980" s="31"/>
      <c r="BP980" s="31"/>
      <c r="BQ980" s="31"/>
      <c r="BR980" s="31"/>
      <c r="BS980" s="31"/>
      <c r="BT980" s="31"/>
      <c r="BU980" s="31"/>
      <c r="BV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1"/>
      <c r="BE981" s="31"/>
      <c r="BF981" s="31"/>
      <c r="BG981" s="31"/>
      <c r="BH981" s="31"/>
      <c r="BI981" s="31"/>
      <c r="BJ981" s="31"/>
      <c r="BK981" s="31"/>
      <c r="BL981" s="31"/>
      <c r="BM981" s="31"/>
      <c r="BN981" s="31"/>
      <c r="BO981" s="31"/>
      <c r="BP981" s="31"/>
      <c r="BQ981" s="31"/>
      <c r="BR981" s="31"/>
      <c r="BS981" s="31"/>
      <c r="BT981" s="31"/>
      <c r="BU981" s="31"/>
      <c r="BV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1"/>
      <c r="BE982" s="31"/>
      <c r="BF982" s="31"/>
      <c r="BG982" s="31"/>
      <c r="BH982" s="31"/>
      <c r="BI982" s="31"/>
      <c r="BJ982" s="31"/>
      <c r="BK982" s="31"/>
      <c r="BL982" s="31"/>
      <c r="BM982" s="31"/>
      <c r="BN982" s="31"/>
      <c r="BO982" s="31"/>
      <c r="BP982" s="31"/>
      <c r="BQ982" s="31"/>
      <c r="BR982" s="31"/>
      <c r="BS982" s="31"/>
      <c r="BT982" s="31"/>
      <c r="BU982" s="31"/>
      <c r="BV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1"/>
      <c r="BE983" s="31"/>
      <c r="BF983" s="31"/>
      <c r="BG983" s="31"/>
      <c r="BH983" s="31"/>
      <c r="BI983" s="31"/>
      <c r="BJ983" s="31"/>
      <c r="BK983" s="31"/>
      <c r="BL983" s="31"/>
      <c r="BM983" s="31"/>
      <c r="BN983" s="31"/>
      <c r="BO983" s="31"/>
      <c r="BP983" s="31"/>
      <c r="BQ983" s="31"/>
      <c r="BR983" s="31"/>
      <c r="BS983" s="31"/>
      <c r="BT983" s="31"/>
      <c r="BU983" s="31"/>
      <c r="BV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31"/>
      <c r="BH984" s="31"/>
      <c r="BI984" s="31"/>
      <c r="BJ984" s="31"/>
      <c r="BK984" s="31"/>
      <c r="BL984" s="31"/>
      <c r="BM984" s="31"/>
      <c r="BN984" s="31"/>
      <c r="BO984" s="31"/>
      <c r="BP984" s="31"/>
      <c r="BQ984" s="31"/>
      <c r="BR984" s="31"/>
      <c r="BS984" s="31"/>
      <c r="BT984" s="31"/>
      <c r="BU984" s="31"/>
      <c r="BV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1"/>
      <c r="BE985" s="31"/>
      <c r="BF985" s="31"/>
      <c r="BG985" s="31"/>
      <c r="BH985" s="31"/>
      <c r="BI985" s="31"/>
      <c r="BJ985" s="31"/>
      <c r="BK985" s="31"/>
      <c r="BL985" s="31"/>
      <c r="BM985" s="31"/>
      <c r="BN985" s="31"/>
      <c r="BO985" s="31"/>
      <c r="BP985" s="31"/>
      <c r="BQ985" s="31"/>
      <c r="BR985" s="31"/>
      <c r="BS985" s="31"/>
      <c r="BT985" s="31"/>
      <c r="BU985" s="31"/>
      <c r="BV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1"/>
      <c r="BE986" s="31"/>
      <c r="BF986" s="31"/>
      <c r="BG986" s="31"/>
      <c r="BH986" s="31"/>
      <c r="BI986" s="31"/>
      <c r="BJ986" s="31"/>
      <c r="BK986" s="31"/>
      <c r="BL986" s="31"/>
      <c r="BM986" s="31"/>
      <c r="BN986" s="31"/>
      <c r="BO986" s="31"/>
      <c r="BP986" s="31"/>
      <c r="BQ986" s="31"/>
      <c r="BR986" s="31"/>
      <c r="BS986" s="31"/>
      <c r="BT986" s="31"/>
      <c r="BU986" s="31"/>
      <c r="BV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1"/>
      <c r="BE987" s="31"/>
      <c r="BF987" s="31"/>
      <c r="BG987" s="31"/>
      <c r="BH987" s="31"/>
      <c r="BI987" s="31"/>
      <c r="BJ987" s="31"/>
      <c r="BK987" s="31"/>
      <c r="BL987" s="31"/>
      <c r="BM987" s="31"/>
      <c r="BN987" s="31"/>
      <c r="BO987" s="31"/>
      <c r="BP987" s="31"/>
      <c r="BQ987" s="31"/>
      <c r="BR987" s="31"/>
      <c r="BS987" s="31"/>
      <c r="BT987" s="31"/>
      <c r="BU987" s="31"/>
      <c r="BV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31"/>
      <c r="BH988" s="31"/>
      <c r="BI988" s="31"/>
      <c r="BJ988" s="31"/>
      <c r="BK988" s="31"/>
      <c r="BL988" s="31"/>
      <c r="BM988" s="31"/>
      <c r="BN988" s="31"/>
      <c r="BO988" s="31"/>
      <c r="BP988" s="31"/>
      <c r="BQ988" s="31"/>
      <c r="BR988" s="31"/>
      <c r="BS988" s="31"/>
      <c r="BT988" s="31"/>
      <c r="BU988" s="31"/>
      <c r="BV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1"/>
      <c r="BE989" s="31"/>
      <c r="BF989" s="31"/>
      <c r="BG989" s="31"/>
      <c r="BH989" s="31"/>
      <c r="BI989" s="31"/>
      <c r="BJ989" s="31"/>
      <c r="BK989" s="31"/>
      <c r="BL989" s="31"/>
      <c r="BM989" s="31"/>
      <c r="BN989" s="31"/>
      <c r="BO989" s="31"/>
      <c r="BP989" s="31"/>
      <c r="BQ989" s="31"/>
      <c r="BR989" s="31"/>
      <c r="BS989" s="31"/>
      <c r="BT989" s="31"/>
      <c r="BU989" s="31"/>
      <c r="BV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1"/>
      <c r="BE990" s="31"/>
      <c r="BF990" s="31"/>
      <c r="BG990" s="31"/>
      <c r="BH990" s="31"/>
      <c r="BI990" s="31"/>
      <c r="BJ990" s="31"/>
      <c r="BK990" s="31"/>
      <c r="BL990" s="31"/>
      <c r="BM990" s="31"/>
      <c r="BN990" s="31"/>
      <c r="BO990" s="31"/>
      <c r="BP990" s="31"/>
      <c r="BQ990" s="31"/>
      <c r="BR990" s="31"/>
      <c r="BS990" s="31"/>
      <c r="BT990" s="31"/>
      <c r="BU990" s="31"/>
      <c r="BV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1"/>
      <c r="BE991" s="31"/>
      <c r="BF991" s="31"/>
      <c r="BG991" s="31"/>
      <c r="BH991" s="31"/>
      <c r="BI991" s="31"/>
      <c r="BJ991" s="31"/>
      <c r="BK991" s="31"/>
      <c r="BL991" s="31"/>
      <c r="BM991" s="31"/>
      <c r="BN991" s="31"/>
      <c r="BO991" s="31"/>
      <c r="BP991" s="31"/>
      <c r="BQ991" s="31"/>
      <c r="BR991" s="31"/>
      <c r="BS991" s="31"/>
      <c r="BT991" s="31"/>
      <c r="BU991" s="31"/>
      <c r="BV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31"/>
      <c r="BH992" s="31"/>
      <c r="BI992" s="31"/>
      <c r="BJ992" s="31"/>
      <c r="BK992" s="31"/>
      <c r="BL992" s="31"/>
      <c r="BM992" s="31"/>
      <c r="BN992" s="31"/>
      <c r="BO992" s="31"/>
      <c r="BP992" s="31"/>
      <c r="BQ992" s="31"/>
      <c r="BR992" s="31"/>
      <c r="BS992" s="31"/>
      <c r="BT992" s="31"/>
      <c r="BU992" s="31"/>
      <c r="BV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1"/>
      <c r="BE993" s="31"/>
      <c r="BF993" s="31"/>
      <c r="BG993" s="31"/>
      <c r="BH993" s="31"/>
      <c r="BI993" s="31"/>
      <c r="BJ993" s="31"/>
      <c r="BK993" s="31"/>
      <c r="BL993" s="31"/>
      <c r="BM993" s="31"/>
      <c r="BN993" s="31"/>
      <c r="BO993" s="31"/>
      <c r="BP993" s="31"/>
      <c r="BQ993" s="31"/>
      <c r="BR993" s="31"/>
      <c r="BS993" s="31"/>
      <c r="BT993" s="31"/>
      <c r="BU993" s="31"/>
      <c r="BV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1"/>
      <c r="BE994" s="31"/>
      <c r="BF994" s="31"/>
      <c r="BG994" s="31"/>
      <c r="BH994" s="31"/>
      <c r="BI994" s="31"/>
      <c r="BJ994" s="31"/>
      <c r="BK994" s="31"/>
      <c r="BL994" s="31"/>
      <c r="BM994" s="31"/>
      <c r="BN994" s="31"/>
      <c r="BO994" s="31"/>
      <c r="BP994" s="31"/>
      <c r="BQ994" s="31"/>
      <c r="BR994" s="31"/>
      <c r="BS994" s="31"/>
      <c r="BT994" s="31"/>
      <c r="BU994" s="31"/>
      <c r="BV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1"/>
      <c r="BE995" s="31"/>
      <c r="BF995" s="31"/>
      <c r="BG995" s="31"/>
      <c r="BH995" s="31"/>
      <c r="BI995" s="31"/>
      <c r="BJ995" s="31"/>
      <c r="BK995" s="31"/>
      <c r="BL995" s="31"/>
      <c r="BM995" s="31"/>
      <c r="BN995" s="31"/>
      <c r="BO995" s="31"/>
      <c r="BP995" s="31"/>
      <c r="BQ995" s="31"/>
      <c r="BR995" s="31"/>
      <c r="BS995" s="31"/>
      <c r="BT995" s="31"/>
      <c r="BU995" s="31"/>
      <c r="BV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31"/>
      <c r="BH996" s="31"/>
      <c r="BI996" s="31"/>
      <c r="BJ996" s="31"/>
      <c r="BK996" s="31"/>
      <c r="BL996" s="31"/>
      <c r="BM996" s="31"/>
      <c r="BN996" s="31"/>
      <c r="BO996" s="31"/>
      <c r="BP996" s="31"/>
      <c r="BQ996" s="31"/>
      <c r="BR996" s="31"/>
      <c r="BS996" s="31"/>
      <c r="BT996" s="31"/>
      <c r="BU996" s="31"/>
      <c r="BV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1"/>
      <c r="BE997" s="31"/>
      <c r="BF997" s="31"/>
      <c r="BG997" s="31"/>
      <c r="BH997" s="31"/>
      <c r="BI997" s="31"/>
      <c r="BJ997" s="31"/>
      <c r="BK997" s="31"/>
      <c r="BL997" s="31"/>
      <c r="BM997" s="31"/>
      <c r="BN997" s="31"/>
      <c r="BO997" s="31"/>
      <c r="BP997" s="31"/>
      <c r="BQ997" s="31"/>
      <c r="BR997" s="31"/>
      <c r="BS997" s="31"/>
      <c r="BT997" s="31"/>
      <c r="BU997" s="31"/>
      <c r="BV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1"/>
      <c r="BE998" s="31"/>
      <c r="BF998" s="31"/>
      <c r="BG998" s="31"/>
      <c r="BH998" s="31"/>
      <c r="BI998" s="31"/>
      <c r="BJ998" s="31"/>
      <c r="BK998" s="31"/>
      <c r="BL998" s="31"/>
      <c r="BM998" s="31"/>
      <c r="BN998" s="31"/>
      <c r="BO998" s="31"/>
      <c r="BP998" s="31"/>
      <c r="BQ998" s="31"/>
      <c r="BR998" s="31"/>
      <c r="BS998" s="31"/>
      <c r="BT998" s="31"/>
      <c r="BU998" s="31"/>
      <c r="BV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1"/>
      <c r="BE999" s="31"/>
      <c r="BF999" s="31"/>
      <c r="BG999" s="31"/>
      <c r="BH999" s="31"/>
      <c r="BI999" s="31"/>
      <c r="BJ999" s="31"/>
      <c r="BK999" s="31"/>
      <c r="BL999" s="31"/>
      <c r="BM999" s="31"/>
      <c r="BN999" s="31"/>
      <c r="BO999" s="31"/>
      <c r="BP999" s="31"/>
      <c r="BQ999" s="31"/>
      <c r="BR999" s="31"/>
      <c r="BS999" s="31"/>
      <c r="BT999" s="31"/>
      <c r="BU999" s="31"/>
      <c r="BV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1"/>
      <c r="BE1000" s="31"/>
      <c r="BF1000" s="31"/>
      <c r="BG1000" s="31"/>
      <c r="BH1000" s="31"/>
      <c r="BI1000" s="31"/>
      <c r="BJ1000" s="31"/>
      <c r="BK1000" s="31"/>
      <c r="BL1000" s="31"/>
      <c r="BM1000" s="31"/>
      <c r="BN1000" s="31"/>
      <c r="BO1000" s="31"/>
      <c r="BP1000" s="31"/>
      <c r="BQ1000" s="31"/>
      <c r="BR1000" s="31"/>
      <c r="BS1000" s="31"/>
      <c r="BT1000" s="31"/>
      <c r="BU1000" s="31"/>
      <c r="BV1000" s="31"/>
    </row>
    <row r="1001" ht="15.75" customHeight="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1"/>
      <c r="BE1001" s="31"/>
      <c r="BF1001" s="31"/>
      <c r="BG1001" s="31"/>
      <c r="BH1001" s="31"/>
      <c r="BI1001" s="31"/>
      <c r="BJ1001" s="31"/>
      <c r="BK1001" s="31"/>
      <c r="BL1001" s="31"/>
      <c r="BM1001" s="31"/>
      <c r="BN1001" s="31"/>
      <c r="BO1001" s="31"/>
      <c r="BP1001" s="31"/>
      <c r="BQ1001" s="31"/>
      <c r="BR1001" s="31"/>
      <c r="BS1001" s="31"/>
      <c r="BT1001" s="31"/>
      <c r="BU1001" s="31"/>
      <c r="BV1001" s="31"/>
    </row>
    <row r="1002" ht="15.75" customHeight="1">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1"/>
      <c r="BE1002" s="31"/>
      <c r="BF1002" s="31"/>
      <c r="BG1002" s="31"/>
      <c r="BH1002" s="31"/>
      <c r="BI1002" s="31"/>
      <c r="BJ1002" s="31"/>
      <c r="BK1002" s="31"/>
      <c r="BL1002" s="31"/>
      <c r="BM1002" s="31"/>
      <c r="BN1002" s="31"/>
      <c r="BO1002" s="31"/>
      <c r="BP1002" s="31"/>
      <c r="BQ1002" s="31"/>
      <c r="BR1002" s="31"/>
      <c r="BS1002" s="31"/>
      <c r="BT1002" s="31"/>
      <c r="BU1002" s="31"/>
      <c r="BV1002" s="31"/>
    </row>
    <row r="1003" ht="15.75" customHeight="1">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1"/>
      <c r="BE1003" s="31"/>
      <c r="BF1003" s="31"/>
      <c r="BG1003" s="31"/>
      <c r="BH1003" s="31"/>
      <c r="BI1003" s="31"/>
      <c r="BJ1003" s="31"/>
      <c r="BK1003" s="31"/>
      <c r="BL1003" s="31"/>
      <c r="BM1003" s="31"/>
      <c r="BN1003" s="31"/>
      <c r="BO1003" s="31"/>
      <c r="BP1003" s="31"/>
      <c r="BQ1003" s="31"/>
      <c r="BR1003" s="31"/>
      <c r="BS1003" s="31"/>
      <c r="BT1003" s="31"/>
      <c r="BU1003" s="31"/>
      <c r="BV1003" s="31"/>
    </row>
    <row r="1004" ht="15.75" customHeight="1">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1"/>
      <c r="BE1004" s="31"/>
      <c r="BF1004" s="31"/>
      <c r="BG1004" s="31"/>
      <c r="BH1004" s="31"/>
      <c r="BI1004" s="31"/>
      <c r="BJ1004" s="31"/>
      <c r="BK1004" s="31"/>
      <c r="BL1004" s="31"/>
      <c r="BM1004" s="31"/>
      <c r="BN1004" s="31"/>
      <c r="BO1004" s="31"/>
      <c r="BP1004" s="31"/>
      <c r="BQ1004" s="31"/>
      <c r="BR1004" s="31"/>
      <c r="BS1004" s="31"/>
      <c r="BT1004" s="31"/>
      <c r="BU1004" s="31"/>
      <c r="BV1004" s="31"/>
    </row>
    <row r="1005" ht="15.75" customHeight="1">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1"/>
      <c r="BE1005" s="31"/>
      <c r="BF1005" s="31"/>
      <c r="BG1005" s="31"/>
      <c r="BH1005" s="31"/>
      <c r="BI1005" s="31"/>
      <c r="BJ1005" s="31"/>
      <c r="BK1005" s="31"/>
      <c r="BL1005" s="31"/>
      <c r="BM1005" s="31"/>
      <c r="BN1005" s="31"/>
      <c r="BO1005" s="31"/>
      <c r="BP1005" s="31"/>
      <c r="BQ1005" s="31"/>
      <c r="BR1005" s="31"/>
      <c r="BS1005" s="31"/>
      <c r="BT1005" s="31"/>
      <c r="BU1005" s="31"/>
      <c r="BV1005" s="31"/>
    </row>
    <row r="1006" ht="15.75" customHeight="1">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1"/>
      <c r="BE1006" s="31"/>
      <c r="BF1006" s="31"/>
      <c r="BG1006" s="31"/>
      <c r="BH1006" s="31"/>
      <c r="BI1006" s="31"/>
      <c r="BJ1006" s="31"/>
      <c r="BK1006" s="31"/>
      <c r="BL1006" s="31"/>
      <c r="BM1006" s="31"/>
      <c r="BN1006" s="31"/>
      <c r="BO1006" s="31"/>
      <c r="BP1006" s="31"/>
      <c r="BQ1006" s="31"/>
      <c r="BR1006" s="31"/>
      <c r="BS1006" s="31"/>
      <c r="BT1006" s="31"/>
      <c r="BU1006" s="31"/>
      <c r="BV1006" s="31"/>
    </row>
    <row r="1007" ht="15.75" customHeight="1">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1"/>
      <c r="BE1007" s="31"/>
      <c r="BF1007" s="31"/>
      <c r="BG1007" s="31"/>
      <c r="BH1007" s="31"/>
      <c r="BI1007" s="31"/>
      <c r="BJ1007" s="31"/>
      <c r="BK1007" s="31"/>
      <c r="BL1007" s="31"/>
      <c r="BM1007" s="31"/>
      <c r="BN1007" s="31"/>
      <c r="BO1007" s="31"/>
      <c r="BP1007" s="31"/>
      <c r="BQ1007" s="31"/>
      <c r="BR1007" s="31"/>
      <c r="BS1007" s="31"/>
      <c r="BT1007" s="31"/>
      <c r="BU1007" s="31"/>
      <c r="BV1007" s="31"/>
    </row>
    <row r="1008" ht="15.75" customHeight="1">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1"/>
      <c r="BE1008" s="31"/>
      <c r="BF1008" s="31"/>
      <c r="BG1008" s="31"/>
      <c r="BH1008" s="31"/>
      <c r="BI1008" s="31"/>
      <c r="BJ1008" s="31"/>
      <c r="BK1008" s="31"/>
      <c r="BL1008" s="31"/>
      <c r="BM1008" s="31"/>
      <c r="BN1008" s="31"/>
      <c r="BO1008" s="31"/>
      <c r="BP1008" s="31"/>
      <c r="BQ1008" s="31"/>
      <c r="BR1008" s="31"/>
      <c r="BS1008" s="31"/>
      <c r="BT1008" s="31"/>
      <c r="BU1008" s="31"/>
      <c r="BV1008" s="31"/>
    </row>
    <row r="1009" ht="15.75" customHeight="1">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1"/>
      <c r="BE1009" s="31"/>
      <c r="BF1009" s="31"/>
      <c r="BG1009" s="31"/>
      <c r="BH1009" s="31"/>
      <c r="BI1009" s="31"/>
      <c r="BJ1009" s="31"/>
      <c r="BK1009" s="31"/>
      <c r="BL1009" s="31"/>
      <c r="BM1009" s="31"/>
      <c r="BN1009" s="31"/>
      <c r="BO1009" s="31"/>
      <c r="BP1009" s="31"/>
      <c r="BQ1009" s="31"/>
      <c r="BR1009" s="31"/>
      <c r="BS1009" s="31"/>
      <c r="BT1009" s="31"/>
      <c r="BU1009" s="31"/>
      <c r="BV1009" s="31"/>
    </row>
    <row r="1010" ht="15.75" customHeight="1">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1"/>
      <c r="BE1010" s="31"/>
      <c r="BF1010" s="31"/>
      <c r="BG1010" s="31"/>
      <c r="BH1010" s="31"/>
      <c r="BI1010" s="31"/>
      <c r="BJ1010" s="31"/>
      <c r="BK1010" s="31"/>
      <c r="BL1010" s="31"/>
      <c r="BM1010" s="31"/>
      <c r="BN1010" s="31"/>
      <c r="BO1010" s="31"/>
      <c r="BP1010" s="31"/>
      <c r="BQ1010" s="31"/>
      <c r="BR1010" s="31"/>
      <c r="BS1010" s="31"/>
      <c r="BT1010" s="31"/>
      <c r="BU1010" s="31"/>
      <c r="BV1010" s="31"/>
    </row>
    <row r="1011" ht="15.75" customHeight="1">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1"/>
      <c r="BE1011" s="31"/>
      <c r="BF1011" s="31"/>
      <c r="BG1011" s="31"/>
      <c r="BH1011" s="31"/>
      <c r="BI1011" s="31"/>
      <c r="BJ1011" s="31"/>
      <c r="BK1011" s="31"/>
      <c r="BL1011" s="31"/>
      <c r="BM1011" s="31"/>
      <c r="BN1011" s="31"/>
      <c r="BO1011" s="31"/>
      <c r="BP1011" s="31"/>
      <c r="BQ1011" s="31"/>
      <c r="BR1011" s="31"/>
      <c r="BS1011" s="31"/>
      <c r="BT1011" s="31"/>
      <c r="BU1011" s="31"/>
      <c r="BV1011" s="31"/>
    </row>
    <row r="1012" ht="15.75" customHeight="1">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1"/>
      <c r="BE1012" s="31"/>
      <c r="BF1012" s="31"/>
      <c r="BG1012" s="31"/>
      <c r="BH1012" s="31"/>
      <c r="BI1012" s="31"/>
      <c r="BJ1012" s="31"/>
      <c r="BK1012" s="31"/>
      <c r="BL1012" s="31"/>
      <c r="BM1012" s="31"/>
      <c r="BN1012" s="31"/>
      <c r="BO1012" s="31"/>
      <c r="BP1012" s="31"/>
      <c r="BQ1012" s="31"/>
      <c r="BR1012" s="31"/>
      <c r="BS1012" s="31"/>
      <c r="BT1012" s="31"/>
      <c r="BU1012" s="31"/>
      <c r="BV1012" s="31"/>
    </row>
    <row r="1013" ht="15.75" customHeight="1">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1"/>
      <c r="BD1013" s="31"/>
      <c r="BE1013" s="31"/>
      <c r="BF1013" s="31"/>
      <c r="BG1013" s="31"/>
      <c r="BH1013" s="31"/>
      <c r="BI1013" s="31"/>
      <c r="BJ1013" s="31"/>
      <c r="BK1013" s="31"/>
      <c r="BL1013" s="31"/>
      <c r="BM1013" s="31"/>
      <c r="BN1013" s="31"/>
      <c r="BO1013" s="31"/>
      <c r="BP1013" s="31"/>
      <c r="BQ1013" s="31"/>
      <c r="BR1013" s="31"/>
      <c r="BS1013" s="31"/>
      <c r="BT1013" s="31"/>
      <c r="BU1013" s="31"/>
      <c r="BV1013" s="31"/>
    </row>
    <row r="1014" ht="15.75" customHeight="1">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1"/>
      <c r="BD1014" s="31"/>
      <c r="BE1014" s="31"/>
      <c r="BF1014" s="31"/>
      <c r="BG1014" s="31"/>
      <c r="BH1014" s="31"/>
      <c r="BI1014" s="31"/>
      <c r="BJ1014" s="31"/>
      <c r="BK1014" s="31"/>
      <c r="BL1014" s="31"/>
      <c r="BM1014" s="31"/>
      <c r="BN1014" s="31"/>
      <c r="BO1014" s="31"/>
      <c r="BP1014" s="31"/>
      <c r="BQ1014" s="31"/>
      <c r="BR1014" s="31"/>
      <c r="BS1014" s="31"/>
      <c r="BT1014" s="31"/>
      <c r="BU1014" s="31"/>
      <c r="BV1014" s="31"/>
    </row>
    <row r="1015" ht="15.75" customHeight="1">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1"/>
      <c r="BD1015" s="31"/>
      <c r="BE1015" s="31"/>
      <c r="BF1015" s="31"/>
      <c r="BG1015" s="31"/>
      <c r="BH1015" s="31"/>
      <c r="BI1015" s="31"/>
      <c r="BJ1015" s="31"/>
      <c r="BK1015" s="31"/>
      <c r="BL1015" s="31"/>
      <c r="BM1015" s="31"/>
      <c r="BN1015" s="31"/>
      <c r="BO1015" s="31"/>
      <c r="BP1015" s="31"/>
      <c r="BQ1015" s="31"/>
      <c r="BR1015" s="31"/>
      <c r="BS1015" s="31"/>
      <c r="BT1015" s="31"/>
      <c r="BU1015" s="31"/>
      <c r="BV1015" s="31"/>
    </row>
    <row r="1016" ht="15.75" customHeight="1">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1"/>
      <c r="BE1016" s="31"/>
      <c r="BF1016" s="31"/>
      <c r="BG1016" s="31"/>
      <c r="BH1016" s="31"/>
      <c r="BI1016" s="31"/>
      <c r="BJ1016" s="31"/>
      <c r="BK1016" s="31"/>
      <c r="BL1016" s="31"/>
      <c r="BM1016" s="31"/>
      <c r="BN1016" s="31"/>
      <c r="BO1016" s="31"/>
      <c r="BP1016" s="31"/>
      <c r="BQ1016" s="31"/>
      <c r="BR1016" s="31"/>
      <c r="BS1016" s="31"/>
      <c r="BT1016" s="31"/>
      <c r="BU1016" s="31"/>
      <c r="BV1016" s="31"/>
    </row>
    <row r="1017" ht="15.75" customHeight="1">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1"/>
      <c r="BD1017" s="31"/>
      <c r="BE1017" s="31"/>
      <c r="BF1017" s="31"/>
      <c r="BG1017" s="31"/>
      <c r="BH1017" s="31"/>
      <c r="BI1017" s="31"/>
      <c r="BJ1017" s="31"/>
      <c r="BK1017" s="31"/>
      <c r="BL1017" s="31"/>
      <c r="BM1017" s="31"/>
      <c r="BN1017" s="31"/>
      <c r="BO1017" s="31"/>
      <c r="BP1017" s="31"/>
      <c r="BQ1017" s="31"/>
      <c r="BR1017" s="31"/>
      <c r="BS1017" s="31"/>
      <c r="BT1017" s="31"/>
      <c r="BU1017" s="31"/>
      <c r="BV1017" s="31"/>
    </row>
    <row r="1018" ht="15.75" customHeight="1">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1"/>
      <c r="BE1018" s="31"/>
      <c r="BF1018" s="31"/>
      <c r="BG1018" s="31"/>
      <c r="BH1018" s="31"/>
      <c r="BI1018" s="31"/>
      <c r="BJ1018" s="31"/>
      <c r="BK1018" s="31"/>
      <c r="BL1018" s="31"/>
      <c r="BM1018" s="31"/>
      <c r="BN1018" s="31"/>
      <c r="BO1018" s="31"/>
      <c r="BP1018" s="31"/>
      <c r="BQ1018" s="31"/>
      <c r="BR1018" s="31"/>
      <c r="BS1018" s="31"/>
      <c r="BT1018" s="31"/>
      <c r="BU1018" s="31"/>
      <c r="BV1018" s="31"/>
    </row>
    <row r="1019" ht="15.75" customHeight="1">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1"/>
      <c r="BD1019" s="31"/>
      <c r="BE1019" s="31"/>
      <c r="BF1019" s="31"/>
      <c r="BG1019" s="31"/>
      <c r="BH1019" s="31"/>
      <c r="BI1019" s="31"/>
      <c r="BJ1019" s="31"/>
      <c r="BK1019" s="31"/>
      <c r="BL1019" s="31"/>
      <c r="BM1019" s="31"/>
      <c r="BN1019" s="31"/>
      <c r="BO1019" s="31"/>
      <c r="BP1019" s="31"/>
      <c r="BQ1019" s="31"/>
      <c r="BR1019" s="31"/>
      <c r="BS1019" s="31"/>
      <c r="BT1019" s="31"/>
      <c r="BU1019" s="31"/>
      <c r="BV1019" s="31"/>
    </row>
    <row r="1020" ht="15.75" customHeight="1">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1"/>
      <c r="BE1020" s="31"/>
      <c r="BF1020" s="31"/>
      <c r="BG1020" s="31"/>
      <c r="BH1020" s="31"/>
      <c r="BI1020" s="31"/>
      <c r="BJ1020" s="31"/>
      <c r="BK1020" s="31"/>
      <c r="BL1020" s="31"/>
      <c r="BM1020" s="31"/>
      <c r="BN1020" s="31"/>
      <c r="BO1020" s="31"/>
      <c r="BP1020" s="31"/>
      <c r="BQ1020" s="31"/>
      <c r="BR1020" s="31"/>
      <c r="BS1020" s="31"/>
      <c r="BT1020" s="31"/>
      <c r="BU1020" s="31"/>
      <c r="BV1020" s="31"/>
    </row>
    <row r="1021" ht="15.75" customHeight="1">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1"/>
      <c r="BD1021" s="31"/>
      <c r="BE1021" s="31"/>
      <c r="BF1021" s="31"/>
      <c r="BG1021" s="31"/>
      <c r="BH1021" s="31"/>
      <c r="BI1021" s="31"/>
      <c r="BJ1021" s="31"/>
      <c r="BK1021" s="31"/>
      <c r="BL1021" s="31"/>
      <c r="BM1021" s="31"/>
      <c r="BN1021" s="31"/>
      <c r="BO1021" s="31"/>
      <c r="BP1021" s="31"/>
      <c r="BQ1021" s="31"/>
      <c r="BR1021" s="31"/>
      <c r="BS1021" s="31"/>
      <c r="BT1021" s="31"/>
      <c r="BU1021" s="31"/>
      <c r="BV1021" s="31"/>
    </row>
    <row r="1022" ht="15.75" customHeight="1">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1"/>
      <c r="BE1022" s="31"/>
      <c r="BF1022" s="31"/>
      <c r="BG1022" s="31"/>
      <c r="BH1022" s="31"/>
      <c r="BI1022" s="31"/>
      <c r="BJ1022" s="31"/>
      <c r="BK1022" s="31"/>
      <c r="BL1022" s="31"/>
      <c r="BM1022" s="31"/>
      <c r="BN1022" s="31"/>
      <c r="BO1022" s="31"/>
      <c r="BP1022" s="31"/>
      <c r="BQ1022" s="31"/>
      <c r="BR1022" s="31"/>
      <c r="BS1022" s="31"/>
      <c r="BT1022" s="31"/>
      <c r="BU1022" s="31"/>
      <c r="BV1022" s="31"/>
    </row>
    <row r="1023" ht="15.75" customHeight="1">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1"/>
      <c r="BD1023" s="31"/>
      <c r="BE1023" s="31"/>
      <c r="BF1023" s="31"/>
      <c r="BG1023" s="31"/>
      <c r="BH1023" s="31"/>
      <c r="BI1023" s="31"/>
      <c r="BJ1023" s="31"/>
      <c r="BK1023" s="31"/>
      <c r="BL1023" s="31"/>
      <c r="BM1023" s="31"/>
      <c r="BN1023" s="31"/>
      <c r="BO1023" s="31"/>
      <c r="BP1023" s="31"/>
      <c r="BQ1023" s="31"/>
      <c r="BR1023" s="31"/>
      <c r="BS1023" s="31"/>
      <c r="BT1023" s="31"/>
      <c r="BU1023" s="31"/>
      <c r="BV1023" s="31"/>
    </row>
    <row r="1024" ht="15.75" customHeight="1">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1"/>
      <c r="BE1024" s="31"/>
      <c r="BF1024" s="31"/>
      <c r="BG1024" s="31"/>
      <c r="BH1024" s="31"/>
      <c r="BI1024" s="31"/>
      <c r="BJ1024" s="31"/>
      <c r="BK1024" s="31"/>
      <c r="BL1024" s="31"/>
      <c r="BM1024" s="31"/>
      <c r="BN1024" s="31"/>
      <c r="BO1024" s="31"/>
      <c r="BP1024" s="31"/>
      <c r="BQ1024" s="31"/>
      <c r="BR1024" s="31"/>
      <c r="BS1024" s="31"/>
      <c r="BT1024" s="31"/>
      <c r="BU1024" s="31"/>
      <c r="BV1024" s="31"/>
    </row>
    <row r="1025" ht="15.75" customHeight="1">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1"/>
      <c r="BD1025" s="31"/>
      <c r="BE1025" s="31"/>
      <c r="BF1025" s="31"/>
      <c r="BG1025" s="31"/>
      <c r="BH1025" s="31"/>
      <c r="BI1025" s="31"/>
      <c r="BJ1025" s="31"/>
      <c r="BK1025" s="31"/>
      <c r="BL1025" s="31"/>
      <c r="BM1025" s="31"/>
      <c r="BN1025" s="31"/>
      <c r="BO1025" s="31"/>
      <c r="BP1025" s="31"/>
      <c r="BQ1025" s="31"/>
      <c r="BR1025" s="31"/>
      <c r="BS1025" s="31"/>
      <c r="BT1025" s="31"/>
      <c r="BU1025" s="31"/>
      <c r="BV1025" s="31"/>
    </row>
    <row r="1026" ht="15.75" customHeight="1">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1"/>
      <c r="BE1026" s="31"/>
      <c r="BF1026" s="31"/>
      <c r="BG1026" s="31"/>
      <c r="BH1026" s="31"/>
      <c r="BI1026" s="31"/>
      <c r="BJ1026" s="31"/>
      <c r="BK1026" s="31"/>
      <c r="BL1026" s="31"/>
      <c r="BM1026" s="31"/>
      <c r="BN1026" s="31"/>
      <c r="BO1026" s="31"/>
      <c r="BP1026" s="31"/>
      <c r="BQ1026" s="31"/>
      <c r="BR1026" s="31"/>
      <c r="BS1026" s="31"/>
      <c r="BT1026" s="31"/>
      <c r="BU1026" s="31"/>
      <c r="BV1026" s="31"/>
    </row>
    <row r="1027" ht="15.75" customHeight="1">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1"/>
      <c r="BD1027" s="31"/>
      <c r="BE1027" s="31"/>
      <c r="BF1027" s="31"/>
      <c r="BG1027" s="31"/>
      <c r="BH1027" s="31"/>
      <c r="BI1027" s="31"/>
      <c r="BJ1027" s="31"/>
      <c r="BK1027" s="31"/>
      <c r="BL1027" s="31"/>
      <c r="BM1027" s="31"/>
      <c r="BN1027" s="31"/>
      <c r="BO1027" s="31"/>
      <c r="BP1027" s="31"/>
      <c r="BQ1027" s="31"/>
      <c r="BR1027" s="31"/>
      <c r="BS1027" s="31"/>
      <c r="BT1027" s="31"/>
      <c r="BU1027" s="31"/>
      <c r="BV1027" s="31"/>
    </row>
    <row r="1028" ht="15.75" customHeight="1">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1"/>
      <c r="BE1028" s="31"/>
      <c r="BF1028" s="31"/>
      <c r="BG1028" s="31"/>
      <c r="BH1028" s="31"/>
      <c r="BI1028" s="31"/>
      <c r="BJ1028" s="31"/>
      <c r="BK1028" s="31"/>
      <c r="BL1028" s="31"/>
      <c r="BM1028" s="31"/>
      <c r="BN1028" s="31"/>
      <c r="BO1028" s="31"/>
      <c r="BP1028" s="31"/>
      <c r="BQ1028" s="31"/>
      <c r="BR1028" s="31"/>
      <c r="BS1028" s="31"/>
      <c r="BT1028" s="31"/>
      <c r="BU1028" s="31"/>
      <c r="BV1028" s="31"/>
    </row>
    <row r="1029" ht="15.75" customHeight="1">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1"/>
      <c r="BD1029" s="31"/>
      <c r="BE1029" s="31"/>
      <c r="BF1029" s="31"/>
      <c r="BG1029" s="31"/>
      <c r="BH1029" s="31"/>
      <c r="BI1029" s="31"/>
      <c r="BJ1029" s="31"/>
      <c r="BK1029" s="31"/>
      <c r="BL1029" s="31"/>
      <c r="BM1029" s="31"/>
      <c r="BN1029" s="31"/>
      <c r="BO1029" s="31"/>
      <c r="BP1029" s="31"/>
      <c r="BQ1029" s="31"/>
      <c r="BR1029" s="31"/>
      <c r="BS1029" s="31"/>
      <c r="BT1029" s="31"/>
      <c r="BU1029" s="31"/>
      <c r="BV1029" s="31"/>
    </row>
    <row r="1030" ht="15.75" customHeight="1">
      <c r="A1030" s="31"/>
      <c r="B1030" s="31"/>
      <c r="C1030" s="31"/>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1"/>
      <c r="BE1030" s="31"/>
      <c r="BF1030" s="31"/>
      <c r="BG1030" s="31"/>
      <c r="BH1030" s="31"/>
      <c r="BI1030" s="31"/>
      <c r="BJ1030" s="31"/>
      <c r="BK1030" s="31"/>
      <c r="BL1030" s="31"/>
      <c r="BM1030" s="31"/>
      <c r="BN1030" s="31"/>
      <c r="BO1030" s="31"/>
      <c r="BP1030" s="31"/>
      <c r="BQ1030" s="31"/>
      <c r="BR1030" s="31"/>
      <c r="BS1030" s="31"/>
      <c r="BT1030" s="31"/>
      <c r="BU1030" s="31"/>
      <c r="BV1030" s="31"/>
    </row>
  </sheetData>
  <mergeCells count="43">
    <mergeCell ref="X4:Y4"/>
    <mergeCell ref="AA4:AB4"/>
    <mergeCell ref="AD4:AE4"/>
    <mergeCell ref="AG4:AH4"/>
    <mergeCell ref="AJ4:AK4"/>
    <mergeCell ref="AM4:AN4"/>
    <mergeCell ref="AP4:AQ4"/>
    <mergeCell ref="BN4:BO4"/>
    <mergeCell ref="BQ4:BR4"/>
    <mergeCell ref="AS4:AT4"/>
    <mergeCell ref="AV4:AW4"/>
    <mergeCell ref="AY4:AZ4"/>
    <mergeCell ref="BB4:BC4"/>
    <mergeCell ref="BE4:BF4"/>
    <mergeCell ref="BH4:BI4"/>
    <mergeCell ref="BK4:BL4"/>
    <mergeCell ref="B2:C2"/>
    <mergeCell ref="B3:C3"/>
    <mergeCell ref="I4:J4"/>
    <mergeCell ref="L4:M4"/>
    <mergeCell ref="O4:P4"/>
    <mergeCell ref="R4:S4"/>
    <mergeCell ref="U4:V4"/>
    <mergeCell ref="B39:B40"/>
    <mergeCell ref="B30:B34"/>
    <mergeCell ref="B18:B21"/>
    <mergeCell ref="B22:B25"/>
    <mergeCell ref="B26:B29"/>
    <mergeCell ref="B35:B38"/>
    <mergeCell ref="C13:C17"/>
    <mergeCell ref="C30:C34"/>
    <mergeCell ref="C18:C21"/>
    <mergeCell ref="C22:C25"/>
    <mergeCell ref="C26:C29"/>
    <mergeCell ref="C35:C38"/>
    <mergeCell ref="B6:B7"/>
    <mergeCell ref="C6:C7"/>
    <mergeCell ref="B8:B10"/>
    <mergeCell ref="C8:C10"/>
    <mergeCell ref="B13:B17"/>
    <mergeCell ref="C11:C12"/>
    <mergeCell ref="B11:B12"/>
    <mergeCell ref="C39:C40"/>
  </mergeCells>
  <printOptions headings="0" gridLines="0"/>
  <pageMargins left="0.62992125984251968" right="0.62992125984251968" top="0.74803149606299213" bottom="0.74803149606299213" header="0" footer="0"/>
  <pageSetup paperSize="9" scale="100" fitToWidth="1" fitToHeight="1" pageOrder="downThenOver" orientation="landscape" usePrinterDefaults="1" blackAndWhite="0" draft="0" cellComments="none" useFirstPageNumber="0" errors="displayed" horizontalDpi="600" verticalDpi="600" copies="1"/>
  <headerFooter/>
  <colBreaks count="4" manualBreakCount="4">
    <brk id="53" man="1"/>
    <brk id="37" man="1"/>
    <brk id="22" man="1"/>
    <brk id="74" man="1"/>
  </colBreaks>
  <extLst>
    <ext xmlns:x14="http://schemas.microsoft.com/office/spreadsheetml/2009/9/main" uri="{CCE6A557-97BC-4b89-ADB6-D9C93CAAB3DF}">
      <x14:dataValidations xmlns:xm="http://schemas.microsoft.com/office/excel/2006/main" count="2" disablePrompts="0">
        <x14:dataValidation xr:uid="{4AFC7C2F-7FEE-4348-B9D8-AD261F80F2B2}" type="list" allowBlank="1" errorStyle="stop" imeMode="noControl" operator="between" showDropDown="0" showErrorMessage="1" showInputMessage="0">
          <x14:formula1>
            <xm:f>"Antonia Lizana,Marcelo Valladares"</xm:f>
          </x14:formula1>
          <xm:sqref>E6:E40</xm:sqref>
        </x14:dataValidation>
        <x14:dataValidation xr:uid="{4B9A9D97-C73D-4C5A-85B7-105B75C9FCB7}" type="list" allowBlank="1" errorStyle="stop" imeMode="noControl" operator="between" showDropDown="0" showErrorMessage="1" showInputMessage="0">
          <x14:formula1>
            <xm:f>"Nuevo,En progreso,Listo para probar,Cerrado,Se necesito info"</xm:f>
          </x14:formula1>
          <xm:sqref>F6:F40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1" width="1.3799999999999999"/>
    <col customWidth="1" min="2" max="2" width="24.25"/>
    <col customWidth="1" min="3" max="3" width="75.25"/>
    <col customWidth="1" min="4" max="4" width="2.5"/>
    <col customWidth="1" min="5" max="6" width="10"/>
    <col customWidth="1" min="7" max="26" width="9.3800000000000008"/>
  </cols>
  <sheetData>
    <row r="1">
      <c r="A1" s="1"/>
      <c r="B1" s="2" t="s">
        <v>229</v>
      </c>
      <c r="C1" s="1"/>
      <c r="D1" s="1"/>
      <c r="E1" s="1"/>
      <c r="F1" s="1"/>
      <c r="G1" s="1"/>
      <c r="H1" s="1"/>
      <c r="I1" s="1"/>
      <c r="J1" s="1"/>
      <c r="K1" s="1"/>
      <c r="L1" s="1"/>
      <c r="M1" s="1"/>
      <c r="N1" s="1"/>
      <c r="O1" s="1"/>
      <c r="P1" s="1"/>
      <c r="Q1" s="1"/>
      <c r="R1" s="1"/>
      <c r="S1" s="1"/>
      <c r="T1" s="1"/>
      <c r="U1" s="1"/>
      <c r="V1" s="1"/>
      <c r="W1" s="1"/>
      <c r="X1" s="1"/>
      <c r="Y1" s="1"/>
      <c r="Z1" s="1"/>
    </row>
    <row r="2">
      <c r="A2" s="1"/>
      <c r="B2" s="40" t="s">
        <v>230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1" t="s">
        <v>231</v>
      </c>
      <c r="C4" s="41" t="s">
        <v>232</v>
      </c>
      <c r="D4" s="1"/>
      <c r="E4" s="1"/>
      <c r="F4" s="1"/>
      <c r="G4" s="1"/>
      <c r="H4" s="1"/>
      <c r="I4" s="1"/>
      <c r="J4" s="1"/>
      <c r="K4" s="1"/>
      <c r="L4" s="1"/>
      <c r="M4" s="1"/>
      <c r="N4" s="1"/>
      <c r="O4" s="1"/>
      <c r="P4" s="1"/>
      <c r="Q4" s="1"/>
      <c r="R4" s="1"/>
      <c r="S4" s="1"/>
      <c r="T4" s="1"/>
      <c r="U4" s="1"/>
      <c r="V4" s="1"/>
      <c r="W4" s="1"/>
      <c r="X4" s="1"/>
      <c r="Y4" s="1"/>
      <c r="Z4" s="1"/>
    </row>
    <row r="5">
      <c r="A5" s="1"/>
      <c r="B5" s="42" t="str">
        <f>'Sprint Backlog 0'!B5</f>
        <v xml:space="preserve">Identificador (ID) de item de product backlog</v>
      </c>
      <c r="C5" s="42" t="s">
        <v>233</v>
      </c>
      <c r="D5" s="1"/>
      <c r="E5" s="1"/>
      <c r="F5" s="1"/>
      <c r="G5" s="1"/>
      <c r="H5" s="1"/>
      <c r="I5" s="1"/>
      <c r="J5" s="1"/>
      <c r="K5" s="1"/>
      <c r="L5" s="1"/>
      <c r="M5" s="1"/>
      <c r="N5" s="1"/>
      <c r="O5" s="1"/>
      <c r="P5" s="1"/>
      <c r="Q5" s="1"/>
      <c r="R5" s="1"/>
      <c r="S5" s="1"/>
      <c r="T5" s="1"/>
      <c r="U5" s="1"/>
      <c r="V5" s="1"/>
      <c r="W5" s="1"/>
      <c r="X5" s="1"/>
      <c r="Y5" s="1"/>
      <c r="Z5" s="1"/>
    </row>
    <row r="6">
      <c r="A6" s="1"/>
      <c r="B6" s="42" t="str">
        <f>'Sprint Backlog 0'!C5</f>
        <v xml:space="preserve">Enunciado del item de Product Backlog</v>
      </c>
      <c r="C6" s="42" t="s">
        <v>234</v>
      </c>
      <c r="D6" s="1"/>
      <c r="E6" s="1"/>
      <c r="F6" s="1"/>
      <c r="G6" s="1"/>
      <c r="H6" s="1"/>
      <c r="I6" s="1"/>
      <c r="J6" s="1"/>
      <c r="K6" s="1"/>
      <c r="L6" s="1"/>
      <c r="M6" s="1"/>
      <c r="N6" s="1"/>
      <c r="O6" s="1"/>
      <c r="P6" s="1"/>
      <c r="Q6" s="1"/>
      <c r="R6" s="1"/>
      <c r="S6" s="1"/>
      <c r="T6" s="1"/>
      <c r="U6" s="1"/>
      <c r="V6" s="1"/>
      <c r="W6" s="1"/>
      <c r="X6" s="1"/>
      <c r="Y6" s="1"/>
      <c r="Z6" s="1"/>
    </row>
    <row r="7">
      <c r="A7" s="1"/>
      <c r="B7" s="42" t="s">
        <v>26</v>
      </c>
      <c r="C7" s="42" t="s">
        <v>235</v>
      </c>
      <c r="D7" s="1"/>
      <c r="E7" s="1"/>
      <c r="F7" s="1"/>
      <c r="G7" s="1"/>
      <c r="H7" s="1"/>
      <c r="I7" s="1"/>
      <c r="J7" s="1"/>
      <c r="K7" s="1"/>
      <c r="L7" s="1"/>
      <c r="M7" s="1"/>
      <c r="N7" s="1"/>
      <c r="O7" s="1"/>
      <c r="P7" s="1"/>
      <c r="Q7" s="1"/>
      <c r="R7" s="1"/>
      <c r="S7" s="1"/>
      <c r="T7" s="1"/>
      <c r="U7" s="1"/>
      <c r="V7" s="1"/>
      <c r="W7" s="1"/>
      <c r="X7" s="1"/>
      <c r="Y7" s="1"/>
      <c r="Z7" s="1"/>
    </row>
    <row r="8">
      <c r="A8" s="1"/>
      <c r="B8" s="42" t="s">
        <v>27</v>
      </c>
      <c r="C8" s="42" t="s">
        <v>236</v>
      </c>
      <c r="D8" s="1"/>
      <c r="E8" s="1"/>
      <c r="F8" s="1"/>
      <c r="G8" s="1"/>
      <c r="H8" s="1"/>
      <c r="I8" s="1"/>
      <c r="J8" s="1"/>
      <c r="K8" s="1"/>
      <c r="L8" s="1"/>
      <c r="M8" s="1"/>
      <c r="N8" s="1"/>
      <c r="O8" s="1"/>
      <c r="P8" s="1"/>
      <c r="Q8" s="1"/>
      <c r="R8" s="1"/>
      <c r="S8" s="1"/>
      <c r="T8" s="1"/>
      <c r="U8" s="1"/>
      <c r="V8" s="1"/>
      <c r="W8" s="1"/>
      <c r="X8" s="1"/>
      <c r="Y8" s="1"/>
      <c r="Z8" s="1"/>
    </row>
    <row r="9">
      <c r="A9" s="1"/>
      <c r="B9" s="42" t="s">
        <v>28</v>
      </c>
      <c r="C9" s="42" t="s">
        <v>237</v>
      </c>
      <c r="D9" s="1"/>
      <c r="E9" s="1"/>
      <c r="F9" s="1"/>
      <c r="G9" s="1"/>
      <c r="H9" s="1"/>
      <c r="I9" s="1"/>
      <c r="J9" s="1"/>
      <c r="K9" s="1"/>
      <c r="L9" s="1"/>
      <c r="M9" s="1"/>
      <c r="N9" s="1"/>
      <c r="O9" s="1"/>
      <c r="P9" s="1"/>
      <c r="Q9" s="1"/>
      <c r="R9" s="1"/>
      <c r="S9" s="1"/>
      <c r="T9" s="1"/>
      <c r="U9" s="1"/>
      <c r="V9" s="1"/>
      <c r="W9" s="1"/>
      <c r="X9" s="1"/>
      <c r="Y9" s="1"/>
      <c r="Z9" s="1"/>
    </row>
    <row r="10">
      <c r="A10" s="1"/>
      <c r="B10" s="42" t="s">
        <v>30</v>
      </c>
      <c r="C10" s="42" t="s">
        <v>238</v>
      </c>
      <c r="D10" s="1"/>
      <c r="E10" s="1"/>
      <c r="F10" s="1"/>
      <c r="G10" s="1"/>
      <c r="H10" s="1"/>
      <c r="I10" s="1"/>
      <c r="J10" s="1"/>
      <c r="K10" s="1"/>
      <c r="L10" s="1"/>
      <c r="M10" s="1"/>
      <c r="N10" s="1"/>
      <c r="O10" s="1"/>
      <c r="P10" s="1"/>
      <c r="Q10" s="1"/>
      <c r="R10" s="1"/>
      <c r="S10" s="1"/>
      <c r="T10" s="1"/>
      <c r="U10" s="1"/>
      <c r="V10" s="1"/>
      <c r="W10" s="1"/>
      <c r="X10" s="1"/>
      <c r="Y10" s="1"/>
      <c r="Z10" s="1"/>
    </row>
    <row r="11">
      <c r="A11" s="1"/>
      <c r="B11" s="42" t="s">
        <v>239</v>
      </c>
      <c r="C11" s="42" t="s">
        <v>240</v>
      </c>
      <c r="D11" s="1"/>
      <c r="E11" s="1"/>
      <c r="F11" s="1"/>
      <c r="G11" s="1"/>
      <c r="H11" s="1"/>
      <c r="I11" s="1"/>
      <c r="J11" s="1"/>
      <c r="K11" s="1"/>
      <c r="L11" s="1"/>
      <c r="M11" s="1"/>
      <c r="N11" s="1"/>
      <c r="O11" s="1"/>
      <c r="P11" s="1"/>
      <c r="Q11" s="1"/>
      <c r="R11" s="1"/>
      <c r="S11" s="1"/>
      <c r="T11" s="1"/>
      <c r="U11" s="1"/>
      <c r="V11" s="1"/>
      <c r="W11" s="1"/>
      <c r="X11" s="1"/>
      <c r="Y11" s="1"/>
      <c r="Z11" s="1"/>
    </row>
    <row r="12">
      <c r="A12" s="1"/>
      <c r="B12" s="42" t="s">
        <v>31</v>
      </c>
      <c r="C12" s="42" t="s">
        <v>241</v>
      </c>
      <c r="D12" s="1"/>
      <c r="E12" s="1"/>
      <c r="F12" s="1"/>
      <c r="G12" s="1"/>
      <c r="H12" s="1"/>
      <c r="I12" s="1"/>
      <c r="J12" s="1"/>
      <c r="K12" s="1"/>
      <c r="L12" s="1"/>
      <c r="M12" s="1"/>
      <c r="N12" s="1"/>
      <c r="O12" s="1"/>
      <c r="P12" s="1"/>
      <c r="Q12" s="1"/>
      <c r="R12" s="1"/>
      <c r="S12" s="1"/>
      <c r="T12" s="1"/>
      <c r="U12" s="1"/>
      <c r="V12" s="1"/>
      <c r="W12" s="1"/>
      <c r="X12" s="1"/>
      <c r="Y12" s="1"/>
      <c r="Z12" s="1"/>
    </row>
    <row r="13">
      <c r="A13" s="1"/>
      <c r="B13" s="42" t="s">
        <v>32</v>
      </c>
      <c r="C13" s="42" t="s">
        <v>242</v>
      </c>
      <c r="D13" s="1"/>
      <c r="E13" s="1"/>
      <c r="F13" s="1"/>
      <c r="G13" s="1"/>
      <c r="H13" s="1"/>
      <c r="I13" s="1"/>
      <c r="J13" s="1"/>
      <c r="K13" s="1"/>
      <c r="L13" s="1"/>
      <c r="M13" s="1"/>
      <c r="N13" s="1"/>
      <c r="O13" s="1"/>
      <c r="P13" s="1"/>
      <c r="Q13" s="1"/>
      <c r="R13" s="1"/>
      <c r="S13" s="1"/>
      <c r="T13" s="1"/>
      <c r="U13" s="1"/>
      <c r="V13" s="1"/>
      <c r="W13" s="1"/>
      <c r="X13" s="1"/>
      <c r="Y13" s="1"/>
      <c r="Z13" s="1"/>
    </row>
    <row r="14">
      <c r="A14" s="1"/>
      <c r="B14" s="42" t="s">
        <v>23</v>
      </c>
      <c r="C14" s="42" t="s">
        <v>243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0" gridLines="0"/>
  <pageMargins left="0.69999999999999996" right="0.69999999999999996" top="0.75" bottom="0.75" header="0" footer="0"/>
  <pageSetup paperSize="9" scale="68"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revision>1</cp:revision>
  <dcterms:created xsi:type="dcterms:W3CDTF">2012-09-02T03:53:17Z</dcterms:created>
  <dcterms:modified xsi:type="dcterms:W3CDTF">2026-10-10T03:27:28Z</dcterms:modified>
</cp:coreProperties>
</file>