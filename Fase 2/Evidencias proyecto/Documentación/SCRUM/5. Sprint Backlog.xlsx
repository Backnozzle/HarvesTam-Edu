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otebook\Desktop\HarvesTam-Edu\HarvesTam-Edu\Fase 2\Evidencias proyecto\Documentación\SCRUM\"/>
    </mc:Choice>
  </mc:AlternateContent>
  <xr:revisionPtr revIDLastSave="0" documentId="13_ncr:1_{256A5DE3-F31C-4FB2-91A9-22D7D8478D80}" xr6:coauthVersionLast="47" xr6:coauthVersionMax="47" xr10:uidLastSave="{00000000-0000-0000-0000-000000000000}"/>
  <bookViews>
    <workbookView xWindow="-108" yWindow="-108" windowWidth="23256" windowHeight="12456" activeTab="1" xr2:uid="{00000000-000D-0000-FFFF-FFFF00000000}"/>
  </bookViews>
  <sheets>
    <sheet name="Sprint Backlog 0" sheetId="1" r:id="rId1"/>
    <sheet name="Sprint Backlog 1" sheetId="2" r:id="rId2"/>
    <sheet name="Sprint Backlog 2" sheetId="3" r:id="rId3"/>
    <sheet name="Sprint Backlog 3" sheetId="4" r:id="rId4"/>
    <sheet name="Instructivo"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B7PqyK3Fe+Phx3nwXaDpKN+tSJ7Ibzdr8YEiUe7peHA="/>
    </ext>
  </extLst>
</workbook>
</file>

<file path=xl/calcChain.xml><?xml version="1.0" encoding="utf-8"?>
<calcChain xmlns="http://schemas.openxmlformats.org/spreadsheetml/2006/main">
  <c r="B6" i="5" l="1"/>
  <c r="B5" i="5"/>
  <c r="BQ37" i="4"/>
  <c r="BR37" i="4" s="1"/>
  <c r="J37" i="4"/>
  <c r="M37" i="4" s="1"/>
  <c r="P37" i="4" s="1"/>
  <c r="S37" i="4" s="1"/>
  <c r="V37" i="4" s="1"/>
  <c r="Y37" i="4" s="1"/>
  <c r="AB37" i="4" s="1"/>
  <c r="AE37" i="4" s="1"/>
  <c r="AH37" i="4" s="1"/>
  <c r="AK37" i="4" s="1"/>
  <c r="AN37" i="4" s="1"/>
  <c r="AQ37" i="4" s="1"/>
  <c r="AT37" i="4" s="1"/>
  <c r="AW37" i="4" s="1"/>
  <c r="AZ37" i="4" s="1"/>
  <c r="BC37" i="4" s="1"/>
  <c r="BF37" i="4" s="1"/>
  <c r="BI37" i="4" s="1"/>
  <c r="BL37" i="4" s="1"/>
  <c r="BO37" i="4" s="1"/>
  <c r="BQ36" i="4"/>
  <c r="BR36" i="4" s="1"/>
  <c r="J36" i="4"/>
  <c r="M36" i="4" s="1"/>
  <c r="P36" i="4" s="1"/>
  <c r="S36" i="4" s="1"/>
  <c r="V36" i="4" s="1"/>
  <c r="Y36" i="4" s="1"/>
  <c r="AB36" i="4" s="1"/>
  <c r="AE36" i="4" s="1"/>
  <c r="AH36" i="4" s="1"/>
  <c r="AK36" i="4" s="1"/>
  <c r="AN36" i="4" s="1"/>
  <c r="AQ36" i="4" s="1"/>
  <c r="AT36" i="4" s="1"/>
  <c r="AW36" i="4" s="1"/>
  <c r="AZ36" i="4" s="1"/>
  <c r="BC36" i="4" s="1"/>
  <c r="BF36" i="4" s="1"/>
  <c r="BI36" i="4" s="1"/>
  <c r="BL36" i="4" s="1"/>
  <c r="BO36" i="4" s="1"/>
  <c r="BQ35" i="4"/>
  <c r="BR35" i="4" s="1"/>
  <c r="BI35" i="4"/>
  <c r="BL35" i="4" s="1"/>
  <c r="BO35" i="4" s="1"/>
  <c r="BC35" i="4"/>
  <c r="J35" i="4"/>
  <c r="M35" i="4" s="1"/>
  <c r="P35" i="4" s="1"/>
  <c r="S35" i="4" s="1"/>
  <c r="V35" i="4" s="1"/>
  <c r="Y35" i="4" s="1"/>
  <c r="AB35" i="4" s="1"/>
  <c r="AE35" i="4" s="1"/>
  <c r="AH35" i="4" s="1"/>
  <c r="AK35" i="4" s="1"/>
  <c r="AN35" i="4" s="1"/>
  <c r="AQ35" i="4" s="1"/>
  <c r="AT35" i="4" s="1"/>
  <c r="AW35" i="4" s="1"/>
  <c r="BQ34" i="4"/>
  <c r="BR34" i="4" s="1"/>
  <c r="BI34" i="4"/>
  <c r="BL34" i="4" s="1"/>
  <c r="BO34" i="4" s="1"/>
  <c r="BC34" i="4"/>
  <c r="J34" i="4"/>
  <c r="M34" i="4" s="1"/>
  <c r="P34" i="4" s="1"/>
  <c r="S34" i="4" s="1"/>
  <c r="V34" i="4" s="1"/>
  <c r="Y34" i="4" s="1"/>
  <c r="AB34" i="4" s="1"/>
  <c r="AE34" i="4" s="1"/>
  <c r="AH34" i="4" s="1"/>
  <c r="AK34" i="4" s="1"/>
  <c r="AN34" i="4" s="1"/>
  <c r="AQ34" i="4" s="1"/>
  <c r="AT34" i="4" s="1"/>
  <c r="AW34" i="4" s="1"/>
  <c r="BQ33" i="4"/>
  <c r="BR33" i="4" s="1"/>
  <c r="BI33" i="4"/>
  <c r="BL33" i="4" s="1"/>
  <c r="BO33" i="4" s="1"/>
  <c r="BC33" i="4"/>
  <c r="J33" i="4"/>
  <c r="M33" i="4" s="1"/>
  <c r="P33" i="4" s="1"/>
  <c r="S33" i="4" s="1"/>
  <c r="V33" i="4" s="1"/>
  <c r="Y33" i="4" s="1"/>
  <c r="AB33" i="4" s="1"/>
  <c r="AE33" i="4" s="1"/>
  <c r="AH33" i="4" s="1"/>
  <c r="AK33" i="4" s="1"/>
  <c r="AN33" i="4" s="1"/>
  <c r="AQ33" i="4" s="1"/>
  <c r="AT33" i="4" s="1"/>
  <c r="AW33" i="4" s="1"/>
  <c r="BQ32" i="4"/>
  <c r="BR32" i="4" s="1"/>
  <c r="BI32" i="4"/>
  <c r="BL32" i="4" s="1"/>
  <c r="BO32" i="4" s="1"/>
  <c r="BC32" i="4"/>
  <c r="J32" i="4"/>
  <c r="M32" i="4" s="1"/>
  <c r="P32" i="4" s="1"/>
  <c r="S32" i="4" s="1"/>
  <c r="V32" i="4" s="1"/>
  <c r="Y32" i="4" s="1"/>
  <c r="AB32" i="4" s="1"/>
  <c r="AE32" i="4" s="1"/>
  <c r="AH32" i="4" s="1"/>
  <c r="AK32" i="4" s="1"/>
  <c r="AN32" i="4" s="1"/>
  <c r="AQ32" i="4" s="1"/>
  <c r="AT32" i="4" s="1"/>
  <c r="AW32" i="4" s="1"/>
  <c r="BQ31" i="4"/>
  <c r="BR31" i="4" s="1"/>
  <c r="BI31" i="4"/>
  <c r="BL31" i="4" s="1"/>
  <c r="BO31" i="4" s="1"/>
  <c r="BC31" i="4"/>
  <c r="J31" i="4"/>
  <c r="M31" i="4" s="1"/>
  <c r="P31" i="4" s="1"/>
  <c r="S31" i="4" s="1"/>
  <c r="V31" i="4" s="1"/>
  <c r="Y31" i="4" s="1"/>
  <c r="AB31" i="4" s="1"/>
  <c r="AE31" i="4" s="1"/>
  <c r="AH31" i="4" s="1"/>
  <c r="AK31" i="4" s="1"/>
  <c r="AN31" i="4" s="1"/>
  <c r="AQ31" i="4" s="1"/>
  <c r="AT31" i="4" s="1"/>
  <c r="AW31" i="4" s="1"/>
  <c r="BQ30" i="4"/>
  <c r="BR30" i="4" s="1"/>
  <c r="BI30" i="4"/>
  <c r="BL30" i="4" s="1"/>
  <c r="BO30" i="4" s="1"/>
  <c r="BC30" i="4"/>
  <c r="J30" i="4"/>
  <c r="M30" i="4" s="1"/>
  <c r="P30" i="4" s="1"/>
  <c r="S30" i="4" s="1"/>
  <c r="V30" i="4" s="1"/>
  <c r="Y30" i="4" s="1"/>
  <c r="AB30" i="4" s="1"/>
  <c r="AE30" i="4" s="1"/>
  <c r="AH30" i="4" s="1"/>
  <c r="AK30" i="4" s="1"/>
  <c r="AN30" i="4" s="1"/>
  <c r="AQ30" i="4" s="1"/>
  <c r="AT30" i="4" s="1"/>
  <c r="AW30" i="4" s="1"/>
  <c r="BQ29" i="4"/>
  <c r="BR29" i="4" s="1"/>
  <c r="BI29" i="4"/>
  <c r="BL29" i="4" s="1"/>
  <c r="BO29" i="4" s="1"/>
  <c r="BC29" i="4"/>
  <c r="J29" i="4"/>
  <c r="M29" i="4" s="1"/>
  <c r="P29" i="4" s="1"/>
  <c r="S29" i="4" s="1"/>
  <c r="V29" i="4" s="1"/>
  <c r="Y29" i="4" s="1"/>
  <c r="AB29" i="4" s="1"/>
  <c r="AE29" i="4" s="1"/>
  <c r="AH29" i="4" s="1"/>
  <c r="AK29" i="4" s="1"/>
  <c r="AN29" i="4" s="1"/>
  <c r="AQ29" i="4" s="1"/>
  <c r="AT29" i="4" s="1"/>
  <c r="AW29" i="4" s="1"/>
  <c r="BQ28" i="4"/>
  <c r="BR28" i="4" s="1"/>
  <c r="BI28" i="4"/>
  <c r="BL28" i="4" s="1"/>
  <c r="BO28" i="4" s="1"/>
  <c r="BC28" i="4"/>
  <c r="J28" i="4"/>
  <c r="M28" i="4" s="1"/>
  <c r="P28" i="4" s="1"/>
  <c r="S28" i="4" s="1"/>
  <c r="V28" i="4" s="1"/>
  <c r="Y28" i="4" s="1"/>
  <c r="AB28" i="4" s="1"/>
  <c r="AE28" i="4" s="1"/>
  <c r="AH28" i="4" s="1"/>
  <c r="AK28" i="4" s="1"/>
  <c r="AN28" i="4" s="1"/>
  <c r="AQ28" i="4" s="1"/>
  <c r="AT28" i="4" s="1"/>
  <c r="AW28" i="4" s="1"/>
  <c r="BQ27" i="4"/>
  <c r="BR27" i="4" s="1"/>
  <c r="BI27" i="4"/>
  <c r="BL27" i="4" s="1"/>
  <c r="BO27" i="4" s="1"/>
  <c r="BC27" i="4"/>
  <c r="J27" i="4"/>
  <c r="M27" i="4" s="1"/>
  <c r="P27" i="4" s="1"/>
  <c r="S27" i="4" s="1"/>
  <c r="V27" i="4" s="1"/>
  <c r="Y27" i="4" s="1"/>
  <c r="AB27" i="4" s="1"/>
  <c r="AE27" i="4" s="1"/>
  <c r="AH27" i="4" s="1"/>
  <c r="AK27" i="4" s="1"/>
  <c r="AN27" i="4" s="1"/>
  <c r="AQ27" i="4" s="1"/>
  <c r="AT27" i="4" s="1"/>
  <c r="AW27" i="4" s="1"/>
  <c r="BQ26" i="4"/>
  <c r="BR26" i="4" s="1"/>
  <c r="BI26" i="4"/>
  <c r="BL26" i="4" s="1"/>
  <c r="BO26" i="4" s="1"/>
  <c r="BC26" i="4"/>
  <c r="J26" i="4"/>
  <c r="M26" i="4" s="1"/>
  <c r="P26" i="4" s="1"/>
  <c r="S26" i="4" s="1"/>
  <c r="V26" i="4" s="1"/>
  <c r="Y26" i="4" s="1"/>
  <c r="AB26" i="4" s="1"/>
  <c r="AE26" i="4" s="1"/>
  <c r="AH26" i="4" s="1"/>
  <c r="AK26" i="4" s="1"/>
  <c r="AN26" i="4" s="1"/>
  <c r="AQ26" i="4" s="1"/>
  <c r="AT26" i="4" s="1"/>
  <c r="AW26" i="4" s="1"/>
  <c r="BQ25" i="4"/>
  <c r="BR25" i="4" s="1"/>
  <c r="BI25" i="4"/>
  <c r="BL25" i="4" s="1"/>
  <c r="BO25" i="4" s="1"/>
  <c r="BC25" i="4"/>
  <c r="J25" i="4"/>
  <c r="M25" i="4" s="1"/>
  <c r="P25" i="4" s="1"/>
  <c r="S25" i="4" s="1"/>
  <c r="V25" i="4" s="1"/>
  <c r="Y25" i="4" s="1"/>
  <c r="AB25" i="4" s="1"/>
  <c r="AE25" i="4" s="1"/>
  <c r="AH25" i="4" s="1"/>
  <c r="AK25" i="4" s="1"/>
  <c r="AN25" i="4" s="1"/>
  <c r="AQ25" i="4" s="1"/>
  <c r="AT25" i="4" s="1"/>
  <c r="AW25" i="4" s="1"/>
  <c r="BQ24" i="4"/>
  <c r="BR24" i="4" s="1"/>
  <c r="BI24" i="4"/>
  <c r="BL24" i="4" s="1"/>
  <c r="BO24" i="4" s="1"/>
  <c r="BC24" i="4"/>
  <c r="J24" i="4"/>
  <c r="M24" i="4" s="1"/>
  <c r="P24" i="4" s="1"/>
  <c r="S24" i="4" s="1"/>
  <c r="V24" i="4" s="1"/>
  <c r="Y24" i="4" s="1"/>
  <c r="AB24" i="4" s="1"/>
  <c r="AE24" i="4" s="1"/>
  <c r="AH24" i="4" s="1"/>
  <c r="AK24" i="4" s="1"/>
  <c r="AN24" i="4" s="1"/>
  <c r="AQ24" i="4" s="1"/>
  <c r="AT24" i="4" s="1"/>
  <c r="AW24" i="4" s="1"/>
  <c r="BQ23" i="4"/>
  <c r="BR23" i="4" s="1"/>
  <c r="BI23" i="4"/>
  <c r="BL23" i="4" s="1"/>
  <c r="BO23" i="4" s="1"/>
  <c r="BC23" i="4"/>
  <c r="J23" i="4"/>
  <c r="M23" i="4" s="1"/>
  <c r="P23" i="4" s="1"/>
  <c r="S23" i="4" s="1"/>
  <c r="V23" i="4" s="1"/>
  <c r="Y23" i="4" s="1"/>
  <c r="AB23" i="4" s="1"/>
  <c r="AE23" i="4" s="1"/>
  <c r="AH23" i="4" s="1"/>
  <c r="AK23" i="4" s="1"/>
  <c r="AN23" i="4" s="1"/>
  <c r="AQ23" i="4" s="1"/>
  <c r="AT23" i="4" s="1"/>
  <c r="AW23" i="4" s="1"/>
  <c r="BQ22" i="4"/>
  <c r="BR22" i="4" s="1"/>
  <c r="BI22" i="4"/>
  <c r="BL22" i="4" s="1"/>
  <c r="BO22" i="4" s="1"/>
  <c r="BC22" i="4"/>
  <c r="J22" i="4"/>
  <c r="M22" i="4" s="1"/>
  <c r="P22" i="4" s="1"/>
  <c r="S22" i="4" s="1"/>
  <c r="V22" i="4" s="1"/>
  <c r="Y22" i="4" s="1"/>
  <c r="AB22" i="4" s="1"/>
  <c r="AE22" i="4" s="1"/>
  <c r="AH22" i="4" s="1"/>
  <c r="AK22" i="4" s="1"/>
  <c r="AN22" i="4" s="1"/>
  <c r="AQ22" i="4" s="1"/>
  <c r="AT22" i="4" s="1"/>
  <c r="AW22" i="4" s="1"/>
  <c r="BQ21" i="4"/>
  <c r="BR21" i="4" s="1"/>
  <c r="BI21" i="4"/>
  <c r="BL21" i="4" s="1"/>
  <c r="BO21" i="4" s="1"/>
  <c r="BC21" i="4"/>
  <c r="J21" i="4"/>
  <c r="M21" i="4" s="1"/>
  <c r="P21" i="4" s="1"/>
  <c r="S21" i="4" s="1"/>
  <c r="V21" i="4" s="1"/>
  <c r="Y21" i="4" s="1"/>
  <c r="AB21" i="4" s="1"/>
  <c r="AE21" i="4" s="1"/>
  <c r="AH21" i="4" s="1"/>
  <c r="AK21" i="4" s="1"/>
  <c r="AN21" i="4" s="1"/>
  <c r="AQ21" i="4" s="1"/>
  <c r="AT21" i="4" s="1"/>
  <c r="AW21" i="4" s="1"/>
  <c r="BQ20" i="4"/>
  <c r="BR20" i="4" s="1"/>
  <c r="BI20" i="4"/>
  <c r="BL20" i="4" s="1"/>
  <c r="BO20" i="4" s="1"/>
  <c r="BC20" i="4"/>
  <c r="J20" i="4"/>
  <c r="M20" i="4" s="1"/>
  <c r="P20" i="4" s="1"/>
  <c r="S20" i="4" s="1"/>
  <c r="V20" i="4" s="1"/>
  <c r="Y20" i="4" s="1"/>
  <c r="AB20" i="4" s="1"/>
  <c r="AE20" i="4" s="1"/>
  <c r="AH20" i="4" s="1"/>
  <c r="AK20" i="4" s="1"/>
  <c r="AN20" i="4" s="1"/>
  <c r="AQ20" i="4" s="1"/>
  <c r="AT20" i="4" s="1"/>
  <c r="AW20" i="4" s="1"/>
  <c r="BQ19" i="4"/>
  <c r="BR19" i="4" s="1"/>
  <c r="BI19" i="4"/>
  <c r="BL19" i="4" s="1"/>
  <c r="BO19" i="4" s="1"/>
  <c r="BC19" i="4"/>
  <c r="J19" i="4"/>
  <c r="M19" i="4" s="1"/>
  <c r="P19" i="4" s="1"/>
  <c r="S19" i="4" s="1"/>
  <c r="V19" i="4" s="1"/>
  <c r="Y19" i="4" s="1"/>
  <c r="AB19" i="4" s="1"/>
  <c r="AE19" i="4" s="1"/>
  <c r="AH19" i="4" s="1"/>
  <c r="AK19" i="4" s="1"/>
  <c r="AN19" i="4" s="1"/>
  <c r="AQ19" i="4" s="1"/>
  <c r="AT19" i="4" s="1"/>
  <c r="AW19" i="4" s="1"/>
  <c r="BQ18" i="4"/>
  <c r="BR18" i="4" s="1"/>
  <c r="BI18" i="4"/>
  <c r="BL18" i="4" s="1"/>
  <c r="BO18" i="4" s="1"/>
  <c r="BC18" i="4"/>
  <c r="J18" i="4"/>
  <c r="M18" i="4" s="1"/>
  <c r="P18" i="4" s="1"/>
  <c r="S18" i="4" s="1"/>
  <c r="V18" i="4" s="1"/>
  <c r="Y18" i="4" s="1"/>
  <c r="AB18" i="4" s="1"/>
  <c r="AE18" i="4" s="1"/>
  <c r="AH18" i="4" s="1"/>
  <c r="AK18" i="4" s="1"/>
  <c r="AN18" i="4" s="1"/>
  <c r="AQ18" i="4" s="1"/>
  <c r="AT18" i="4" s="1"/>
  <c r="AW18" i="4" s="1"/>
  <c r="BQ17" i="4"/>
  <c r="BR17" i="4" s="1"/>
  <c r="BI17" i="4"/>
  <c r="BL17" i="4" s="1"/>
  <c r="BO17" i="4" s="1"/>
  <c r="BC17" i="4"/>
  <c r="J17" i="4"/>
  <c r="M17" i="4" s="1"/>
  <c r="P17" i="4" s="1"/>
  <c r="S17" i="4" s="1"/>
  <c r="V17" i="4" s="1"/>
  <c r="Y17" i="4" s="1"/>
  <c r="AB17" i="4" s="1"/>
  <c r="AE17" i="4" s="1"/>
  <c r="AH17" i="4" s="1"/>
  <c r="AK17" i="4" s="1"/>
  <c r="AN17" i="4" s="1"/>
  <c r="AQ17" i="4" s="1"/>
  <c r="AT17" i="4" s="1"/>
  <c r="AW17" i="4" s="1"/>
  <c r="BQ16" i="4"/>
  <c r="BR16" i="4" s="1"/>
  <c r="J16" i="4"/>
  <c r="M16" i="4" s="1"/>
  <c r="P16" i="4" s="1"/>
  <c r="S16" i="4" s="1"/>
  <c r="V16" i="4" s="1"/>
  <c r="Y16" i="4" s="1"/>
  <c r="AB16" i="4" s="1"/>
  <c r="AE16" i="4" s="1"/>
  <c r="AH16" i="4" s="1"/>
  <c r="AK16" i="4" s="1"/>
  <c r="AN16" i="4" s="1"/>
  <c r="AQ16" i="4" s="1"/>
  <c r="AT16" i="4" s="1"/>
  <c r="AW16" i="4" s="1"/>
  <c r="AZ16" i="4" s="1"/>
  <c r="BC16" i="4" s="1"/>
  <c r="BF16" i="4" s="1"/>
  <c r="BI16" i="4" s="1"/>
  <c r="BL16" i="4" s="1"/>
  <c r="BO16" i="4" s="1"/>
  <c r="BQ15" i="4"/>
  <c r="BR15" i="4" s="1"/>
  <c r="J15" i="4"/>
  <c r="M15" i="4" s="1"/>
  <c r="P15" i="4" s="1"/>
  <c r="S15" i="4" s="1"/>
  <c r="V15" i="4" s="1"/>
  <c r="Y15" i="4" s="1"/>
  <c r="AB15" i="4" s="1"/>
  <c r="AE15" i="4" s="1"/>
  <c r="AH15" i="4" s="1"/>
  <c r="AK15" i="4" s="1"/>
  <c r="AN15" i="4" s="1"/>
  <c r="AQ15" i="4" s="1"/>
  <c r="AT15" i="4" s="1"/>
  <c r="AW15" i="4" s="1"/>
  <c r="AZ15" i="4" s="1"/>
  <c r="BC15" i="4" s="1"/>
  <c r="BF15" i="4" s="1"/>
  <c r="BI15" i="4" s="1"/>
  <c r="BL15" i="4" s="1"/>
  <c r="BO15" i="4" s="1"/>
  <c r="BQ14" i="4"/>
  <c r="BR14" i="4" s="1"/>
  <c r="J14" i="4"/>
  <c r="M14" i="4" s="1"/>
  <c r="P14" i="4" s="1"/>
  <c r="S14" i="4" s="1"/>
  <c r="V14" i="4" s="1"/>
  <c r="Y14" i="4" s="1"/>
  <c r="AB14" i="4" s="1"/>
  <c r="AE14" i="4" s="1"/>
  <c r="AH14" i="4" s="1"/>
  <c r="AK14" i="4" s="1"/>
  <c r="AN14" i="4" s="1"/>
  <c r="AQ14" i="4" s="1"/>
  <c r="AT14" i="4" s="1"/>
  <c r="AW14" i="4" s="1"/>
  <c r="AZ14" i="4" s="1"/>
  <c r="BC14" i="4" s="1"/>
  <c r="BF14" i="4" s="1"/>
  <c r="BI14" i="4" s="1"/>
  <c r="BL14" i="4" s="1"/>
  <c r="BO14" i="4" s="1"/>
  <c r="BQ13" i="4"/>
  <c r="BR13" i="4" s="1"/>
  <c r="J13" i="4"/>
  <c r="M13" i="4" s="1"/>
  <c r="P13" i="4" s="1"/>
  <c r="S13" i="4" s="1"/>
  <c r="V13" i="4" s="1"/>
  <c r="Y13" i="4" s="1"/>
  <c r="AB13" i="4" s="1"/>
  <c r="AE13" i="4" s="1"/>
  <c r="AH13" i="4" s="1"/>
  <c r="AK13" i="4" s="1"/>
  <c r="AN13" i="4" s="1"/>
  <c r="AQ13" i="4" s="1"/>
  <c r="AT13" i="4" s="1"/>
  <c r="AW13" i="4" s="1"/>
  <c r="AZ13" i="4" s="1"/>
  <c r="BC13" i="4" s="1"/>
  <c r="BF13" i="4" s="1"/>
  <c r="BI13" i="4" s="1"/>
  <c r="BL13" i="4" s="1"/>
  <c r="BO13" i="4" s="1"/>
  <c r="BQ12" i="4"/>
  <c r="BR12" i="4" s="1"/>
  <c r="J12" i="4"/>
  <c r="M12" i="4" s="1"/>
  <c r="P12" i="4" s="1"/>
  <c r="S12" i="4" s="1"/>
  <c r="V12" i="4" s="1"/>
  <c r="Y12" i="4" s="1"/>
  <c r="AB12" i="4" s="1"/>
  <c r="AE12" i="4" s="1"/>
  <c r="AH12" i="4" s="1"/>
  <c r="AK12" i="4" s="1"/>
  <c r="AN12" i="4" s="1"/>
  <c r="AQ12" i="4" s="1"/>
  <c r="AT12" i="4" s="1"/>
  <c r="AW12" i="4" s="1"/>
  <c r="AZ12" i="4" s="1"/>
  <c r="BC12" i="4" s="1"/>
  <c r="BF12" i="4" s="1"/>
  <c r="BI12" i="4" s="1"/>
  <c r="BL12" i="4" s="1"/>
  <c r="BO12" i="4" s="1"/>
  <c r="BQ11" i="4"/>
  <c r="BR11" i="4" s="1"/>
  <c r="J11" i="4"/>
  <c r="M11" i="4" s="1"/>
  <c r="P11" i="4" s="1"/>
  <c r="S11" i="4" s="1"/>
  <c r="V11" i="4" s="1"/>
  <c r="Y11" i="4" s="1"/>
  <c r="AB11" i="4" s="1"/>
  <c r="AE11" i="4" s="1"/>
  <c r="AH11" i="4" s="1"/>
  <c r="AK11" i="4" s="1"/>
  <c r="AN11" i="4" s="1"/>
  <c r="AQ11" i="4" s="1"/>
  <c r="AT11" i="4" s="1"/>
  <c r="AW11" i="4" s="1"/>
  <c r="AZ11" i="4" s="1"/>
  <c r="BC11" i="4" s="1"/>
  <c r="BF11" i="4" s="1"/>
  <c r="BI11" i="4" s="1"/>
  <c r="BL11" i="4" s="1"/>
  <c r="BO11" i="4" s="1"/>
  <c r="BQ10" i="4"/>
  <c r="BR10" i="4" s="1"/>
  <c r="J10" i="4"/>
  <c r="M10" i="4" s="1"/>
  <c r="P10" i="4" s="1"/>
  <c r="S10" i="4" s="1"/>
  <c r="V10" i="4" s="1"/>
  <c r="Y10" i="4" s="1"/>
  <c r="AB10" i="4" s="1"/>
  <c r="AE10" i="4" s="1"/>
  <c r="AH10" i="4" s="1"/>
  <c r="AK10" i="4" s="1"/>
  <c r="AN10" i="4" s="1"/>
  <c r="AQ10" i="4" s="1"/>
  <c r="AT10" i="4" s="1"/>
  <c r="AW10" i="4" s="1"/>
  <c r="AZ10" i="4" s="1"/>
  <c r="BC10" i="4" s="1"/>
  <c r="BF10" i="4" s="1"/>
  <c r="BI10" i="4" s="1"/>
  <c r="BL10" i="4" s="1"/>
  <c r="BO10" i="4" s="1"/>
  <c r="BR9" i="4"/>
  <c r="J9" i="4"/>
  <c r="M9" i="4" s="1"/>
  <c r="P9" i="4" s="1"/>
  <c r="S9" i="4" s="1"/>
  <c r="V9" i="4" s="1"/>
  <c r="Y9" i="4" s="1"/>
  <c r="AB9" i="4" s="1"/>
  <c r="AE9" i="4" s="1"/>
  <c r="AH9" i="4" s="1"/>
  <c r="AK9" i="4" s="1"/>
  <c r="AN9" i="4" s="1"/>
  <c r="AQ9" i="4" s="1"/>
  <c r="AT9" i="4" s="1"/>
  <c r="AW9" i="4" s="1"/>
  <c r="AZ9" i="4" s="1"/>
  <c r="BC9" i="4" s="1"/>
  <c r="BF9" i="4" s="1"/>
  <c r="BI9" i="4" s="1"/>
  <c r="BL9" i="4" s="1"/>
  <c r="BO9" i="4" s="1"/>
  <c r="BQ8" i="4"/>
  <c r="BR8" i="4" s="1"/>
  <c r="J8" i="4"/>
  <c r="M8" i="4" s="1"/>
  <c r="P8" i="4" s="1"/>
  <c r="S8" i="4" s="1"/>
  <c r="V8" i="4" s="1"/>
  <c r="Y8" i="4" s="1"/>
  <c r="AB8" i="4" s="1"/>
  <c r="AE8" i="4" s="1"/>
  <c r="AH8" i="4" s="1"/>
  <c r="AK8" i="4" s="1"/>
  <c r="AN8" i="4" s="1"/>
  <c r="AQ8" i="4" s="1"/>
  <c r="AT8" i="4" s="1"/>
  <c r="AW8" i="4" s="1"/>
  <c r="AZ8" i="4" s="1"/>
  <c r="BC8" i="4" s="1"/>
  <c r="BF8" i="4" s="1"/>
  <c r="BI8" i="4" s="1"/>
  <c r="BL8" i="4" s="1"/>
  <c r="BO8" i="4" s="1"/>
  <c r="BQ7" i="4"/>
  <c r="BR7" i="4" s="1"/>
  <c r="M7" i="4"/>
  <c r="P7" i="4" s="1"/>
  <c r="S7" i="4" s="1"/>
  <c r="V7" i="4" s="1"/>
  <c r="Y7" i="4" s="1"/>
  <c r="AB7" i="4" s="1"/>
  <c r="AE7" i="4" s="1"/>
  <c r="AH7" i="4" s="1"/>
  <c r="AK7" i="4" s="1"/>
  <c r="AN7" i="4" s="1"/>
  <c r="AQ7" i="4" s="1"/>
  <c r="AT7" i="4" s="1"/>
  <c r="AW7" i="4" s="1"/>
  <c r="AZ7" i="4" s="1"/>
  <c r="BC7" i="4" s="1"/>
  <c r="BF7" i="4" s="1"/>
  <c r="BI7" i="4" s="1"/>
  <c r="BL7" i="4" s="1"/>
  <c r="BO7" i="4" s="1"/>
  <c r="BQ6" i="4"/>
  <c r="BR6" i="4" s="1"/>
  <c r="J6" i="4"/>
  <c r="M6" i="4" s="1"/>
  <c r="P6" i="4" s="1"/>
  <c r="S6" i="4" s="1"/>
  <c r="V6" i="4" s="1"/>
  <c r="Y6" i="4" s="1"/>
  <c r="AB6" i="4" s="1"/>
  <c r="AE6" i="4" s="1"/>
  <c r="AH6" i="4" s="1"/>
  <c r="AK6" i="4" s="1"/>
  <c r="AN6" i="4" s="1"/>
  <c r="AQ6" i="4" s="1"/>
  <c r="AT6" i="4" s="1"/>
  <c r="AW6" i="4" s="1"/>
  <c r="AZ6" i="4" s="1"/>
  <c r="BC6" i="4" s="1"/>
  <c r="BF6" i="4" s="1"/>
  <c r="BI6" i="4" s="1"/>
  <c r="BL6" i="4" s="1"/>
  <c r="BO6" i="4" s="1"/>
  <c r="BW14" i="3"/>
  <c r="BX14" i="3" s="1"/>
  <c r="J14" i="3"/>
  <c r="M14" i="3" s="1"/>
  <c r="P14" i="3" s="1"/>
  <c r="S14" i="3" s="1"/>
  <c r="V14" i="3" s="1"/>
  <c r="Y14" i="3" s="1"/>
  <c r="AB14" i="3" s="1"/>
  <c r="AE14" i="3" s="1"/>
  <c r="AH14" i="3" s="1"/>
  <c r="AK14" i="3" s="1"/>
  <c r="AN14" i="3" s="1"/>
  <c r="AQ14" i="3" s="1"/>
  <c r="AT14" i="3" s="1"/>
  <c r="AW14" i="3" s="1"/>
  <c r="AZ14" i="3" s="1"/>
  <c r="BC14" i="3" s="1"/>
  <c r="BF14" i="3" s="1"/>
  <c r="BI14" i="3" s="1"/>
  <c r="BL14" i="3" s="1"/>
  <c r="BO14" i="3" s="1"/>
  <c r="BR14" i="3" s="1"/>
  <c r="BU14" i="3" s="1"/>
  <c r="BW13" i="3"/>
  <c r="BX13" i="3" s="1"/>
  <c r="J13" i="3"/>
  <c r="M13" i="3" s="1"/>
  <c r="P13" i="3" s="1"/>
  <c r="S13" i="3" s="1"/>
  <c r="V13" i="3" s="1"/>
  <c r="Y13" i="3" s="1"/>
  <c r="AB13" i="3" s="1"/>
  <c r="AE13" i="3" s="1"/>
  <c r="AH13" i="3" s="1"/>
  <c r="AK13" i="3" s="1"/>
  <c r="AN13" i="3" s="1"/>
  <c r="AQ13" i="3" s="1"/>
  <c r="AT13" i="3" s="1"/>
  <c r="AW13" i="3" s="1"/>
  <c r="AZ13" i="3" s="1"/>
  <c r="BC13" i="3" s="1"/>
  <c r="BF13" i="3" s="1"/>
  <c r="BI13" i="3" s="1"/>
  <c r="BL13" i="3" s="1"/>
  <c r="BO13" i="3" s="1"/>
  <c r="BR13" i="3" s="1"/>
  <c r="BU13" i="3" s="1"/>
  <c r="BW12" i="3"/>
  <c r="BX12" i="3" s="1"/>
  <c r="J12" i="3"/>
  <c r="M12" i="3" s="1"/>
  <c r="P12" i="3" s="1"/>
  <c r="S12" i="3" s="1"/>
  <c r="V12" i="3" s="1"/>
  <c r="Y12" i="3" s="1"/>
  <c r="AB12" i="3" s="1"/>
  <c r="AE12" i="3" s="1"/>
  <c r="AH12" i="3" s="1"/>
  <c r="AK12" i="3" s="1"/>
  <c r="AN12" i="3" s="1"/>
  <c r="AQ12" i="3" s="1"/>
  <c r="AT12" i="3" s="1"/>
  <c r="AW12" i="3" s="1"/>
  <c r="AZ12" i="3" s="1"/>
  <c r="BC12" i="3" s="1"/>
  <c r="BF12" i="3" s="1"/>
  <c r="BI12" i="3" s="1"/>
  <c r="BL12" i="3" s="1"/>
  <c r="BO12" i="3" s="1"/>
  <c r="BR12" i="3" s="1"/>
  <c r="BU12" i="3" s="1"/>
  <c r="BW11" i="3"/>
  <c r="BX11" i="3" s="1"/>
  <c r="J11" i="3"/>
  <c r="M11" i="3" s="1"/>
  <c r="P11" i="3" s="1"/>
  <c r="S11" i="3" s="1"/>
  <c r="V11" i="3" s="1"/>
  <c r="Y11" i="3" s="1"/>
  <c r="AB11" i="3" s="1"/>
  <c r="AE11" i="3" s="1"/>
  <c r="AH11" i="3" s="1"/>
  <c r="AK11" i="3" s="1"/>
  <c r="AN11" i="3" s="1"/>
  <c r="AQ11" i="3" s="1"/>
  <c r="AT11" i="3" s="1"/>
  <c r="AW11" i="3" s="1"/>
  <c r="AZ11" i="3" s="1"/>
  <c r="BC11" i="3" s="1"/>
  <c r="BF11" i="3" s="1"/>
  <c r="BI11" i="3" s="1"/>
  <c r="BL11" i="3" s="1"/>
  <c r="BO11" i="3" s="1"/>
  <c r="BR11" i="3" s="1"/>
  <c r="BU11" i="3" s="1"/>
  <c r="BW10" i="3"/>
  <c r="BX10" i="3" s="1"/>
  <c r="J10" i="3"/>
  <c r="M10" i="3" s="1"/>
  <c r="P10" i="3" s="1"/>
  <c r="S10" i="3" s="1"/>
  <c r="V10" i="3" s="1"/>
  <c r="Y10" i="3" s="1"/>
  <c r="AB10" i="3" s="1"/>
  <c r="AE10" i="3" s="1"/>
  <c r="AH10" i="3" s="1"/>
  <c r="AK10" i="3" s="1"/>
  <c r="AN10" i="3" s="1"/>
  <c r="AQ10" i="3" s="1"/>
  <c r="AT10" i="3" s="1"/>
  <c r="AW10" i="3" s="1"/>
  <c r="AZ10" i="3" s="1"/>
  <c r="BC10" i="3" s="1"/>
  <c r="BF10" i="3" s="1"/>
  <c r="BI10" i="3" s="1"/>
  <c r="BL10" i="3" s="1"/>
  <c r="BO10" i="3" s="1"/>
  <c r="BR10" i="3" s="1"/>
  <c r="BU10" i="3" s="1"/>
  <c r="BW9" i="3"/>
  <c r="BX9" i="3" s="1"/>
  <c r="J9" i="3"/>
  <c r="M9" i="3" s="1"/>
  <c r="P9" i="3" s="1"/>
  <c r="S9" i="3" s="1"/>
  <c r="V9" i="3" s="1"/>
  <c r="Y9" i="3" s="1"/>
  <c r="AB9" i="3" s="1"/>
  <c r="AE9" i="3" s="1"/>
  <c r="AH9" i="3" s="1"/>
  <c r="AK9" i="3" s="1"/>
  <c r="AN9" i="3" s="1"/>
  <c r="AQ9" i="3" s="1"/>
  <c r="AT9" i="3" s="1"/>
  <c r="AW9" i="3" s="1"/>
  <c r="AZ9" i="3" s="1"/>
  <c r="BC9" i="3" s="1"/>
  <c r="BF9" i="3" s="1"/>
  <c r="BI9" i="3" s="1"/>
  <c r="BL9" i="3" s="1"/>
  <c r="BO9" i="3" s="1"/>
  <c r="BR9" i="3" s="1"/>
  <c r="BU9" i="3" s="1"/>
  <c r="BW8" i="3"/>
  <c r="BX8" i="3" s="1"/>
  <c r="J8" i="3"/>
  <c r="M8" i="3" s="1"/>
  <c r="P8" i="3" s="1"/>
  <c r="S8" i="3" s="1"/>
  <c r="V8" i="3" s="1"/>
  <c r="Y8" i="3" s="1"/>
  <c r="AB8" i="3" s="1"/>
  <c r="AE8" i="3" s="1"/>
  <c r="AH8" i="3" s="1"/>
  <c r="AK8" i="3" s="1"/>
  <c r="AN8" i="3" s="1"/>
  <c r="AQ8" i="3" s="1"/>
  <c r="AT8" i="3" s="1"/>
  <c r="AW8" i="3" s="1"/>
  <c r="AZ8" i="3" s="1"/>
  <c r="BC8" i="3" s="1"/>
  <c r="BF8" i="3" s="1"/>
  <c r="BI8" i="3" s="1"/>
  <c r="BL8" i="3" s="1"/>
  <c r="BO8" i="3" s="1"/>
  <c r="BR8" i="3" s="1"/>
  <c r="BU8" i="3" s="1"/>
  <c r="BW7" i="3"/>
  <c r="BX7" i="3" s="1"/>
  <c r="J7" i="3"/>
  <c r="M7" i="3" s="1"/>
  <c r="P7" i="3" s="1"/>
  <c r="S7" i="3" s="1"/>
  <c r="V7" i="3" s="1"/>
  <c r="Y7" i="3" s="1"/>
  <c r="AB7" i="3" s="1"/>
  <c r="AE7" i="3" s="1"/>
  <c r="AH7" i="3" s="1"/>
  <c r="AK7" i="3" s="1"/>
  <c r="AN7" i="3" s="1"/>
  <c r="AQ7" i="3" s="1"/>
  <c r="AT7" i="3" s="1"/>
  <c r="AW7" i="3" s="1"/>
  <c r="AZ7" i="3" s="1"/>
  <c r="BC7" i="3" s="1"/>
  <c r="BF7" i="3" s="1"/>
  <c r="BI7" i="3" s="1"/>
  <c r="BL7" i="3" s="1"/>
  <c r="BO7" i="3" s="1"/>
  <c r="BR7" i="3" s="1"/>
  <c r="BU7" i="3" s="1"/>
  <c r="BW6" i="3"/>
  <c r="BX6" i="3" s="1"/>
  <c r="J6" i="3"/>
  <c r="M6" i="3" s="1"/>
  <c r="P6" i="3" s="1"/>
  <c r="S6" i="3" s="1"/>
  <c r="V6" i="3" s="1"/>
  <c r="Y6" i="3" s="1"/>
  <c r="AB6" i="3" s="1"/>
  <c r="AE6" i="3" s="1"/>
  <c r="AH6" i="3" s="1"/>
  <c r="AK6" i="3" s="1"/>
  <c r="AN6" i="3" s="1"/>
  <c r="AQ6" i="3" s="1"/>
  <c r="AT6" i="3" s="1"/>
  <c r="AW6" i="3" s="1"/>
  <c r="AZ6" i="3" s="1"/>
  <c r="BC6" i="3" s="1"/>
  <c r="BF6" i="3" s="1"/>
  <c r="BI6" i="3" s="1"/>
  <c r="BL6" i="3" s="1"/>
  <c r="BO6" i="3" s="1"/>
  <c r="BR6" i="3" s="1"/>
  <c r="BU6" i="3" s="1"/>
  <c r="DX33" i="2"/>
  <c r="DY33" i="2" s="1"/>
  <c r="J33" i="2"/>
  <c r="M33" i="2" s="1"/>
  <c r="P33" i="2" s="1"/>
  <c r="S33" i="2" s="1"/>
  <c r="V33" i="2" s="1"/>
  <c r="Y33" i="2" s="1"/>
  <c r="AB33" i="2" s="1"/>
  <c r="AE33" i="2" s="1"/>
  <c r="AH33" i="2" s="1"/>
  <c r="AK33" i="2" s="1"/>
  <c r="AN33" i="2" s="1"/>
  <c r="AQ33" i="2" s="1"/>
  <c r="AT33" i="2" s="1"/>
  <c r="AW33" i="2" s="1"/>
  <c r="AZ33" i="2" s="1"/>
  <c r="BC33" i="2" s="1"/>
  <c r="BF33" i="2" s="1"/>
  <c r="BI33" i="2" s="1"/>
  <c r="BL33" i="2" s="1"/>
  <c r="BO33" i="2" s="1"/>
  <c r="BR33" i="2" s="1"/>
  <c r="BU33" i="2" s="1"/>
  <c r="BX33" i="2" s="1"/>
  <c r="CA33" i="2" s="1"/>
  <c r="CD33" i="2" s="1"/>
  <c r="CG33" i="2" s="1"/>
  <c r="CJ33" i="2" s="1"/>
  <c r="CM33" i="2" s="1"/>
  <c r="CP33" i="2" s="1"/>
  <c r="CS33" i="2" s="1"/>
  <c r="CV33" i="2" s="1"/>
  <c r="CY33" i="2" s="1"/>
  <c r="DB33" i="2" s="1"/>
  <c r="DE33" i="2" s="1"/>
  <c r="DH33" i="2" s="1"/>
  <c r="DK33" i="2" s="1"/>
  <c r="DN33" i="2" s="1"/>
  <c r="DQ33" i="2" s="1"/>
  <c r="DT33" i="2" s="1"/>
  <c r="DW33" i="2" s="1"/>
  <c r="DX32" i="2"/>
  <c r="DY32" i="2" s="1"/>
  <c r="J32" i="2"/>
  <c r="M32" i="2" s="1"/>
  <c r="P32" i="2" s="1"/>
  <c r="S32" i="2" s="1"/>
  <c r="V32" i="2" s="1"/>
  <c r="Y32" i="2" s="1"/>
  <c r="AB32" i="2" s="1"/>
  <c r="AE32" i="2" s="1"/>
  <c r="AH32" i="2" s="1"/>
  <c r="AK32" i="2" s="1"/>
  <c r="AN32" i="2" s="1"/>
  <c r="AQ32" i="2" s="1"/>
  <c r="AT32" i="2" s="1"/>
  <c r="AW32" i="2" s="1"/>
  <c r="AZ32" i="2" s="1"/>
  <c r="BC32" i="2" s="1"/>
  <c r="BF32" i="2" s="1"/>
  <c r="BI32" i="2" s="1"/>
  <c r="BL32" i="2" s="1"/>
  <c r="BO32" i="2" s="1"/>
  <c r="BR32" i="2" s="1"/>
  <c r="BU32" i="2" s="1"/>
  <c r="BX32" i="2" s="1"/>
  <c r="CA32" i="2" s="1"/>
  <c r="CD32" i="2" s="1"/>
  <c r="CG32" i="2" s="1"/>
  <c r="CJ32" i="2" s="1"/>
  <c r="CM32" i="2" s="1"/>
  <c r="CP32" i="2" s="1"/>
  <c r="CS32" i="2" s="1"/>
  <c r="CV32" i="2" s="1"/>
  <c r="CY32" i="2" s="1"/>
  <c r="DB32" i="2" s="1"/>
  <c r="DE32" i="2" s="1"/>
  <c r="DH32" i="2" s="1"/>
  <c r="DK32" i="2" s="1"/>
  <c r="DN32" i="2" s="1"/>
  <c r="DQ32" i="2" s="1"/>
  <c r="DT32" i="2" s="1"/>
  <c r="DW32" i="2" s="1"/>
  <c r="DX31" i="2"/>
  <c r="DY31" i="2" s="1"/>
  <c r="J31" i="2"/>
  <c r="M31" i="2" s="1"/>
  <c r="P31" i="2" s="1"/>
  <c r="S31" i="2" s="1"/>
  <c r="V31" i="2" s="1"/>
  <c r="Y31" i="2" s="1"/>
  <c r="AB31" i="2" s="1"/>
  <c r="AE31" i="2" s="1"/>
  <c r="AH31" i="2" s="1"/>
  <c r="AK31" i="2" s="1"/>
  <c r="AN31" i="2" s="1"/>
  <c r="AQ31" i="2" s="1"/>
  <c r="AT31" i="2" s="1"/>
  <c r="AW31" i="2" s="1"/>
  <c r="AZ31" i="2" s="1"/>
  <c r="BC31" i="2" s="1"/>
  <c r="BF31" i="2" s="1"/>
  <c r="BI31" i="2" s="1"/>
  <c r="BL31" i="2" s="1"/>
  <c r="BO31" i="2" s="1"/>
  <c r="BR31" i="2" s="1"/>
  <c r="BU31" i="2" s="1"/>
  <c r="BX31" i="2" s="1"/>
  <c r="CA31" i="2" s="1"/>
  <c r="CD31" i="2" s="1"/>
  <c r="CG31" i="2" s="1"/>
  <c r="CJ31" i="2" s="1"/>
  <c r="CM31" i="2" s="1"/>
  <c r="CP31" i="2" s="1"/>
  <c r="CS31" i="2" s="1"/>
  <c r="CV31" i="2" s="1"/>
  <c r="CY31" i="2" s="1"/>
  <c r="DB31" i="2" s="1"/>
  <c r="DE31" i="2" s="1"/>
  <c r="DH31" i="2" s="1"/>
  <c r="DK31" i="2" s="1"/>
  <c r="DN31" i="2" s="1"/>
  <c r="DQ31" i="2" s="1"/>
  <c r="DT31" i="2" s="1"/>
  <c r="DW31" i="2" s="1"/>
  <c r="DX30" i="2"/>
  <c r="DY30" i="2" s="1"/>
  <c r="J30" i="2"/>
  <c r="M30" i="2" s="1"/>
  <c r="P30" i="2" s="1"/>
  <c r="S30" i="2" s="1"/>
  <c r="V30" i="2" s="1"/>
  <c r="Y30" i="2" s="1"/>
  <c r="AB30" i="2" s="1"/>
  <c r="AE30" i="2" s="1"/>
  <c r="AH30" i="2" s="1"/>
  <c r="AK30" i="2" s="1"/>
  <c r="AN30" i="2" s="1"/>
  <c r="AQ30" i="2" s="1"/>
  <c r="AT30" i="2" s="1"/>
  <c r="AW30" i="2" s="1"/>
  <c r="AZ30" i="2" s="1"/>
  <c r="BC30" i="2" s="1"/>
  <c r="BF30" i="2" s="1"/>
  <c r="BI30" i="2" s="1"/>
  <c r="BL30" i="2" s="1"/>
  <c r="BO30" i="2" s="1"/>
  <c r="BR30" i="2" s="1"/>
  <c r="BU30" i="2" s="1"/>
  <c r="BX30" i="2" s="1"/>
  <c r="CA30" i="2" s="1"/>
  <c r="CD30" i="2" s="1"/>
  <c r="CG30" i="2" s="1"/>
  <c r="CJ30" i="2" s="1"/>
  <c r="CM30" i="2" s="1"/>
  <c r="CP30" i="2" s="1"/>
  <c r="CS30" i="2" s="1"/>
  <c r="CV30" i="2" s="1"/>
  <c r="CY30" i="2" s="1"/>
  <c r="DB30" i="2" s="1"/>
  <c r="DE30" i="2" s="1"/>
  <c r="DH30" i="2" s="1"/>
  <c r="DK30" i="2" s="1"/>
  <c r="DN30" i="2" s="1"/>
  <c r="DQ30" i="2" s="1"/>
  <c r="DT30" i="2" s="1"/>
  <c r="DW30" i="2" s="1"/>
  <c r="DX29" i="2"/>
  <c r="DY29" i="2" s="1"/>
  <c r="J29" i="2"/>
  <c r="M29" i="2" s="1"/>
  <c r="P29" i="2" s="1"/>
  <c r="S29" i="2" s="1"/>
  <c r="V29" i="2" s="1"/>
  <c r="Y29" i="2" s="1"/>
  <c r="AB29" i="2" s="1"/>
  <c r="AE29" i="2" s="1"/>
  <c r="AH29" i="2" s="1"/>
  <c r="AK29" i="2" s="1"/>
  <c r="AN29" i="2" s="1"/>
  <c r="AQ29" i="2" s="1"/>
  <c r="AT29" i="2" s="1"/>
  <c r="AW29" i="2" s="1"/>
  <c r="AZ29" i="2" s="1"/>
  <c r="BC29" i="2" s="1"/>
  <c r="BF29" i="2" s="1"/>
  <c r="BI29" i="2" s="1"/>
  <c r="BL29" i="2" s="1"/>
  <c r="BO29" i="2" s="1"/>
  <c r="BR29" i="2" s="1"/>
  <c r="BU29" i="2" s="1"/>
  <c r="BX29" i="2" s="1"/>
  <c r="CA29" i="2" s="1"/>
  <c r="CD29" i="2" s="1"/>
  <c r="CG29" i="2" s="1"/>
  <c r="CJ29" i="2" s="1"/>
  <c r="CM29" i="2" s="1"/>
  <c r="CP29" i="2" s="1"/>
  <c r="CS29" i="2" s="1"/>
  <c r="CV29" i="2" s="1"/>
  <c r="CY29" i="2" s="1"/>
  <c r="DB29" i="2" s="1"/>
  <c r="DE29" i="2" s="1"/>
  <c r="DH29" i="2" s="1"/>
  <c r="DK29" i="2" s="1"/>
  <c r="DN29" i="2" s="1"/>
  <c r="DQ29" i="2" s="1"/>
  <c r="DT29" i="2" s="1"/>
  <c r="DW29" i="2" s="1"/>
  <c r="DX28" i="2"/>
  <c r="DY28" i="2" s="1"/>
  <c r="J28" i="2"/>
  <c r="M28" i="2" s="1"/>
  <c r="P28" i="2" s="1"/>
  <c r="S28" i="2" s="1"/>
  <c r="V28" i="2" s="1"/>
  <c r="Y28" i="2" s="1"/>
  <c r="AB28" i="2" s="1"/>
  <c r="AE28" i="2" s="1"/>
  <c r="AH28" i="2" s="1"/>
  <c r="AK28" i="2" s="1"/>
  <c r="AN28" i="2" s="1"/>
  <c r="AQ28" i="2" s="1"/>
  <c r="AT28" i="2" s="1"/>
  <c r="AW28" i="2" s="1"/>
  <c r="AZ28" i="2" s="1"/>
  <c r="BC28" i="2" s="1"/>
  <c r="BF28" i="2" s="1"/>
  <c r="BI28" i="2" s="1"/>
  <c r="BL28" i="2" s="1"/>
  <c r="BO28" i="2" s="1"/>
  <c r="BR28" i="2" s="1"/>
  <c r="BU28" i="2" s="1"/>
  <c r="BX28" i="2" s="1"/>
  <c r="CA28" i="2" s="1"/>
  <c r="CD28" i="2" s="1"/>
  <c r="CG28" i="2" s="1"/>
  <c r="CJ28" i="2" s="1"/>
  <c r="CM28" i="2" s="1"/>
  <c r="CP28" i="2" s="1"/>
  <c r="CS28" i="2" s="1"/>
  <c r="CV28" i="2" s="1"/>
  <c r="CY28" i="2" s="1"/>
  <c r="DB28" i="2" s="1"/>
  <c r="DE28" i="2" s="1"/>
  <c r="DH28" i="2" s="1"/>
  <c r="DK28" i="2" s="1"/>
  <c r="DN28" i="2" s="1"/>
  <c r="DQ28" i="2" s="1"/>
  <c r="DT28" i="2" s="1"/>
  <c r="DW28" i="2" s="1"/>
  <c r="DX27" i="2"/>
  <c r="DY27" i="2" s="1"/>
  <c r="J27" i="2"/>
  <c r="M27" i="2" s="1"/>
  <c r="P27" i="2" s="1"/>
  <c r="S27" i="2" s="1"/>
  <c r="V27" i="2" s="1"/>
  <c r="Y27" i="2" s="1"/>
  <c r="AB27" i="2" s="1"/>
  <c r="AE27" i="2" s="1"/>
  <c r="AH27" i="2" s="1"/>
  <c r="AK27" i="2" s="1"/>
  <c r="AN27" i="2" s="1"/>
  <c r="AQ27" i="2" s="1"/>
  <c r="AT27" i="2" s="1"/>
  <c r="AW27" i="2" s="1"/>
  <c r="AZ27" i="2" s="1"/>
  <c r="BC27" i="2" s="1"/>
  <c r="BF27" i="2" s="1"/>
  <c r="BI27" i="2" s="1"/>
  <c r="BL27" i="2" s="1"/>
  <c r="BO27" i="2" s="1"/>
  <c r="BR27" i="2" s="1"/>
  <c r="BU27" i="2" s="1"/>
  <c r="BX27" i="2" s="1"/>
  <c r="CA27" i="2" s="1"/>
  <c r="CD27" i="2" s="1"/>
  <c r="CG27" i="2" s="1"/>
  <c r="CJ27" i="2" s="1"/>
  <c r="CM27" i="2" s="1"/>
  <c r="CP27" i="2" s="1"/>
  <c r="CS27" i="2" s="1"/>
  <c r="CV27" i="2" s="1"/>
  <c r="CY27" i="2" s="1"/>
  <c r="DB27" i="2" s="1"/>
  <c r="DE27" i="2" s="1"/>
  <c r="DH27" i="2" s="1"/>
  <c r="DK27" i="2" s="1"/>
  <c r="DN27" i="2" s="1"/>
  <c r="DQ27" i="2" s="1"/>
  <c r="DT27" i="2" s="1"/>
  <c r="DW27" i="2" s="1"/>
  <c r="DX26" i="2"/>
  <c r="DY26" i="2" s="1"/>
  <c r="J26" i="2"/>
  <c r="M26" i="2" s="1"/>
  <c r="P26" i="2" s="1"/>
  <c r="S26" i="2" s="1"/>
  <c r="V26" i="2" s="1"/>
  <c r="Y26" i="2" s="1"/>
  <c r="AB26" i="2" s="1"/>
  <c r="AE26" i="2" s="1"/>
  <c r="AH26" i="2" s="1"/>
  <c r="AK26" i="2" s="1"/>
  <c r="AN26" i="2" s="1"/>
  <c r="AQ26" i="2" s="1"/>
  <c r="AT26" i="2" s="1"/>
  <c r="AW26" i="2" s="1"/>
  <c r="AZ26" i="2" s="1"/>
  <c r="BC26" i="2" s="1"/>
  <c r="BF26" i="2" s="1"/>
  <c r="BI26" i="2" s="1"/>
  <c r="BL26" i="2" s="1"/>
  <c r="BO26" i="2" s="1"/>
  <c r="BR26" i="2" s="1"/>
  <c r="BU26" i="2" s="1"/>
  <c r="BX26" i="2" s="1"/>
  <c r="CA26" i="2" s="1"/>
  <c r="CD26" i="2" s="1"/>
  <c r="CG26" i="2" s="1"/>
  <c r="CJ26" i="2" s="1"/>
  <c r="CM26" i="2" s="1"/>
  <c r="CP26" i="2" s="1"/>
  <c r="CS26" i="2" s="1"/>
  <c r="CV26" i="2" s="1"/>
  <c r="CY26" i="2" s="1"/>
  <c r="DB26" i="2" s="1"/>
  <c r="DE26" i="2" s="1"/>
  <c r="DH26" i="2" s="1"/>
  <c r="DK26" i="2" s="1"/>
  <c r="DN26" i="2" s="1"/>
  <c r="DQ26" i="2" s="1"/>
  <c r="DT26" i="2" s="1"/>
  <c r="DW26" i="2" s="1"/>
  <c r="DX25" i="2"/>
  <c r="DY25" i="2" s="1"/>
  <c r="J25" i="2"/>
  <c r="M25" i="2" s="1"/>
  <c r="P25" i="2" s="1"/>
  <c r="S25" i="2" s="1"/>
  <c r="V25" i="2" s="1"/>
  <c r="Y25" i="2" s="1"/>
  <c r="AB25" i="2" s="1"/>
  <c r="AE25" i="2" s="1"/>
  <c r="AH25" i="2" s="1"/>
  <c r="AK25" i="2" s="1"/>
  <c r="AN25" i="2" s="1"/>
  <c r="AQ25" i="2" s="1"/>
  <c r="AT25" i="2" s="1"/>
  <c r="AW25" i="2" s="1"/>
  <c r="AZ25" i="2" s="1"/>
  <c r="BC25" i="2" s="1"/>
  <c r="BF25" i="2" s="1"/>
  <c r="BI25" i="2" s="1"/>
  <c r="BL25" i="2" s="1"/>
  <c r="BO25" i="2" s="1"/>
  <c r="BR25" i="2" s="1"/>
  <c r="BU25" i="2" s="1"/>
  <c r="BX25" i="2" s="1"/>
  <c r="CA25" i="2" s="1"/>
  <c r="CD25" i="2" s="1"/>
  <c r="CG25" i="2" s="1"/>
  <c r="CJ25" i="2" s="1"/>
  <c r="CM25" i="2" s="1"/>
  <c r="CP25" i="2" s="1"/>
  <c r="CS25" i="2" s="1"/>
  <c r="CV25" i="2" s="1"/>
  <c r="CY25" i="2" s="1"/>
  <c r="DB25" i="2" s="1"/>
  <c r="DE25" i="2" s="1"/>
  <c r="DH25" i="2" s="1"/>
  <c r="DK25" i="2" s="1"/>
  <c r="DN25" i="2" s="1"/>
  <c r="DQ25" i="2" s="1"/>
  <c r="DT25" i="2" s="1"/>
  <c r="DW25" i="2" s="1"/>
  <c r="DX24" i="2"/>
  <c r="DY24" i="2" s="1"/>
  <c r="J24" i="2"/>
  <c r="M24" i="2" s="1"/>
  <c r="P24" i="2" s="1"/>
  <c r="S24" i="2" s="1"/>
  <c r="V24" i="2" s="1"/>
  <c r="Y24" i="2" s="1"/>
  <c r="AB24" i="2" s="1"/>
  <c r="AE24" i="2" s="1"/>
  <c r="AH24" i="2" s="1"/>
  <c r="AK24" i="2" s="1"/>
  <c r="AN24" i="2" s="1"/>
  <c r="AQ24" i="2" s="1"/>
  <c r="AT24" i="2" s="1"/>
  <c r="AW24" i="2" s="1"/>
  <c r="AZ24" i="2" s="1"/>
  <c r="BC24" i="2" s="1"/>
  <c r="BF24" i="2" s="1"/>
  <c r="BI24" i="2" s="1"/>
  <c r="BL24" i="2" s="1"/>
  <c r="BO24" i="2" s="1"/>
  <c r="BR24" i="2" s="1"/>
  <c r="BU24" i="2" s="1"/>
  <c r="BX24" i="2" s="1"/>
  <c r="CA24" i="2" s="1"/>
  <c r="CD24" i="2" s="1"/>
  <c r="CG24" i="2" s="1"/>
  <c r="CJ24" i="2" s="1"/>
  <c r="CM24" i="2" s="1"/>
  <c r="CP24" i="2" s="1"/>
  <c r="CS24" i="2" s="1"/>
  <c r="CV24" i="2" s="1"/>
  <c r="CY24" i="2" s="1"/>
  <c r="DB24" i="2" s="1"/>
  <c r="DE24" i="2" s="1"/>
  <c r="DH24" i="2" s="1"/>
  <c r="DK24" i="2" s="1"/>
  <c r="DN24" i="2" s="1"/>
  <c r="DQ24" i="2" s="1"/>
  <c r="DT24" i="2" s="1"/>
  <c r="DW24" i="2" s="1"/>
  <c r="DX23" i="2"/>
  <c r="DY23" i="2" s="1"/>
  <c r="J23" i="2"/>
  <c r="M23" i="2" s="1"/>
  <c r="P23" i="2" s="1"/>
  <c r="S23" i="2" s="1"/>
  <c r="V23" i="2" s="1"/>
  <c r="Y23" i="2" s="1"/>
  <c r="AB23" i="2" s="1"/>
  <c r="AE23" i="2" s="1"/>
  <c r="AH23" i="2" s="1"/>
  <c r="AK23" i="2" s="1"/>
  <c r="AN23" i="2" s="1"/>
  <c r="AQ23" i="2" s="1"/>
  <c r="AT23" i="2" s="1"/>
  <c r="AW23" i="2" s="1"/>
  <c r="AZ23" i="2" s="1"/>
  <c r="BC23" i="2" s="1"/>
  <c r="BF23" i="2" s="1"/>
  <c r="BI23" i="2" s="1"/>
  <c r="BL23" i="2" s="1"/>
  <c r="BO23" i="2" s="1"/>
  <c r="BR23" i="2" s="1"/>
  <c r="BU23" i="2" s="1"/>
  <c r="BX23" i="2" s="1"/>
  <c r="CA23" i="2" s="1"/>
  <c r="CD23" i="2" s="1"/>
  <c r="CG23" i="2" s="1"/>
  <c r="CJ23" i="2" s="1"/>
  <c r="CM23" i="2" s="1"/>
  <c r="CP23" i="2" s="1"/>
  <c r="CS23" i="2" s="1"/>
  <c r="CV23" i="2" s="1"/>
  <c r="CY23" i="2" s="1"/>
  <c r="DB23" i="2" s="1"/>
  <c r="DE23" i="2" s="1"/>
  <c r="DH23" i="2" s="1"/>
  <c r="DK23" i="2" s="1"/>
  <c r="DN23" i="2" s="1"/>
  <c r="DQ23" i="2" s="1"/>
  <c r="DT23" i="2" s="1"/>
  <c r="DW23" i="2" s="1"/>
  <c r="DX22" i="2"/>
  <c r="DY22" i="2" s="1"/>
  <c r="J22" i="2"/>
  <c r="M22" i="2" s="1"/>
  <c r="P22" i="2" s="1"/>
  <c r="S22" i="2" s="1"/>
  <c r="V22" i="2" s="1"/>
  <c r="Y22" i="2" s="1"/>
  <c r="AB22" i="2" s="1"/>
  <c r="AE22" i="2" s="1"/>
  <c r="AH22" i="2" s="1"/>
  <c r="AK22" i="2" s="1"/>
  <c r="AN22" i="2" s="1"/>
  <c r="AQ22" i="2" s="1"/>
  <c r="AT22" i="2" s="1"/>
  <c r="AW22" i="2" s="1"/>
  <c r="AZ22" i="2" s="1"/>
  <c r="BC22" i="2" s="1"/>
  <c r="BF22" i="2" s="1"/>
  <c r="BI22" i="2" s="1"/>
  <c r="BL22" i="2" s="1"/>
  <c r="BO22" i="2" s="1"/>
  <c r="BR22" i="2" s="1"/>
  <c r="BU22" i="2" s="1"/>
  <c r="BX22" i="2" s="1"/>
  <c r="CA22" i="2" s="1"/>
  <c r="CD22" i="2" s="1"/>
  <c r="CG22" i="2" s="1"/>
  <c r="CJ22" i="2" s="1"/>
  <c r="CM22" i="2" s="1"/>
  <c r="CP22" i="2" s="1"/>
  <c r="CS22" i="2" s="1"/>
  <c r="CV22" i="2" s="1"/>
  <c r="CY22" i="2" s="1"/>
  <c r="DB22" i="2" s="1"/>
  <c r="DE22" i="2" s="1"/>
  <c r="DH22" i="2" s="1"/>
  <c r="DK22" i="2" s="1"/>
  <c r="DN22" i="2" s="1"/>
  <c r="DQ22" i="2" s="1"/>
  <c r="DT22" i="2" s="1"/>
  <c r="DW22" i="2" s="1"/>
  <c r="DX21" i="2"/>
  <c r="DY21" i="2" s="1"/>
  <c r="J21" i="2"/>
  <c r="M21" i="2" s="1"/>
  <c r="P21" i="2" s="1"/>
  <c r="S21" i="2" s="1"/>
  <c r="V21" i="2" s="1"/>
  <c r="Y21" i="2" s="1"/>
  <c r="AB21" i="2" s="1"/>
  <c r="AE21" i="2" s="1"/>
  <c r="AH21" i="2" s="1"/>
  <c r="AK21" i="2" s="1"/>
  <c r="AN21" i="2" s="1"/>
  <c r="AQ21" i="2" s="1"/>
  <c r="AT21" i="2" s="1"/>
  <c r="AW21" i="2" s="1"/>
  <c r="AZ21" i="2" s="1"/>
  <c r="BC21" i="2" s="1"/>
  <c r="BF21" i="2" s="1"/>
  <c r="BI21" i="2" s="1"/>
  <c r="BL21" i="2" s="1"/>
  <c r="BO21" i="2" s="1"/>
  <c r="BR21" i="2" s="1"/>
  <c r="BU21" i="2" s="1"/>
  <c r="BX21" i="2" s="1"/>
  <c r="CA21" i="2" s="1"/>
  <c r="CD21" i="2" s="1"/>
  <c r="CG21" i="2" s="1"/>
  <c r="CJ21" i="2" s="1"/>
  <c r="CM21" i="2" s="1"/>
  <c r="CP21" i="2" s="1"/>
  <c r="CS21" i="2" s="1"/>
  <c r="CV21" i="2" s="1"/>
  <c r="CY21" i="2" s="1"/>
  <c r="DB21" i="2" s="1"/>
  <c r="DE21" i="2" s="1"/>
  <c r="DH21" i="2" s="1"/>
  <c r="DK21" i="2" s="1"/>
  <c r="DN21" i="2" s="1"/>
  <c r="DQ21" i="2" s="1"/>
  <c r="DT21" i="2" s="1"/>
  <c r="DW21" i="2" s="1"/>
  <c r="DX20" i="2"/>
  <c r="DY20" i="2" s="1"/>
  <c r="J20" i="2"/>
  <c r="M20" i="2" s="1"/>
  <c r="P20" i="2" s="1"/>
  <c r="S20" i="2" s="1"/>
  <c r="V20" i="2" s="1"/>
  <c r="Y20" i="2" s="1"/>
  <c r="AB20" i="2" s="1"/>
  <c r="AE20" i="2" s="1"/>
  <c r="AH20" i="2" s="1"/>
  <c r="AK20" i="2" s="1"/>
  <c r="AN20" i="2" s="1"/>
  <c r="AQ20" i="2" s="1"/>
  <c r="AT20" i="2" s="1"/>
  <c r="AW20" i="2" s="1"/>
  <c r="AZ20" i="2" s="1"/>
  <c r="BC20" i="2" s="1"/>
  <c r="BF20" i="2" s="1"/>
  <c r="BI20" i="2" s="1"/>
  <c r="BL20" i="2" s="1"/>
  <c r="BO20" i="2" s="1"/>
  <c r="BR20" i="2" s="1"/>
  <c r="BU20" i="2" s="1"/>
  <c r="BX20" i="2" s="1"/>
  <c r="CA20" i="2" s="1"/>
  <c r="CD20" i="2" s="1"/>
  <c r="CG20" i="2" s="1"/>
  <c r="CJ20" i="2" s="1"/>
  <c r="CM20" i="2" s="1"/>
  <c r="CP20" i="2" s="1"/>
  <c r="CS20" i="2" s="1"/>
  <c r="CV20" i="2" s="1"/>
  <c r="CY20" i="2" s="1"/>
  <c r="DB20" i="2" s="1"/>
  <c r="DE20" i="2" s="1"/>
  <c r="DH20" i="2" s="1"/>
  <c r="DK20" i="2" s="1"/>
  <c r="DN20" i="2" s="1"/>
  <c r="DQ20" i="2" s="1"/>
  <c r="DT20" i="2" s="1"/>
  <c r="DW20" i="2" s="1"/>
  <c r="DX19" i="2"/>
  <c r="DY19" i="2" s="1"/>
  <c r="J19" i="2"/>
  <c r="M19" i="2" s="1"/>
  <c r="P19" i="2" s="1"/>
  <c r="S19" i="2" s="1"/>
  <c r="V19" i="2" s="1"/>
  <c r="Y19" i="2" s="1"/>
  <c r="AB19" i="2" s="1"/>
  <c r="AE19" i="2" s="1"/>
  <c r="AH19" i="2" s="1"/>
  <c r="AK19" i="2" s="1"/>
  <c r="AN19" i="2" s="1"/>
  <c r="AQ19" i="2" s="1"/>
  <c r="AT19" i="2" s="1"/>
  <c r="AW19" i="2" s="1"/>
  <c r="AZ19" i="2" s="1"/>
  <c r="BC19" i="2" s="1"/>
  <c r="BF19" i="2" s="1"/>
  <c r="BI19" i="2" s="1"/>
  <c r="BL19" i="2" s="1"/>
  <c r="BO19" i="2" s="1"/>
  <c r="BR19" i="2" s="1"/>
  <c r="BU19" i="2" s="1"/>
  <c r="BX19" i="2" s="1"/>
  <c r="CA19" i="2" s="1"/>
  <c r="CD19" i="2" s="1"/>
  <c r="CG19" i="2" s="1"/>
  <c r="CJ19" i="2" s="1"/>
  <c r="CM19" i="2" s="1"/>
  <c r="CP19" i="2" s="1"/>
  <c r="CS19" i="2" s="1"/>
  <c r="CV19" i="2" s="1"/>
  <c r="CY19" i="2" s="1"/>
  <c r="DB19" i="2" s="1"/>
  <c r="DE19" i="2" s="1"/>
  <c r="DH19" i="2" s="1"/>
  <c r="DK19" i="2" s="1"/>
  <c r="DN19" i="2" s="1"/>
  <c r="DQ19" i="2" s="1"/>
  <c r="DT19" i="2" s="1"/>
  <c r="DW19" i="2" s="1"/>
  <c r="DX18" i="2"/>
  <c r="DY18" i="2" s="1"/>
  <c r="J18" i="2"/>
  <c r="M18" i="2" s="1"/>
  <c r="P18" i="2" s="1"/>
  <c r="S18" i="2" s="1"/>
  <c r="V18" i="2" s="1"/>
  <c r="Y18" i="2" s="1"/>
  <c r="AB18" i="2" s="1"/>
  <c r="AE18" i="2" s="1"/>
  <c r="AH18" i="2" s="1"/>
  <c r="AK18" i="2" s="1"/>
  <c r="AN18" i="2" s="1"/>
  <c r="AQ18" i="2" s="1"/>
  <c r="AT18" i="2" s="1"/>
  <c r="AW18" i="2" s="1"/>
  <c r="AZ18" i="2" s="1"/>
  <c r="BC18" i="2" s="1"/>
  <c r="BF18" i="2" s="1"/>
  <c r="BI18" i="2" s="1"/>
  <c r="BL18" i="2" s="1"/>
  <c r="BO18" i="2" s="1"/>
  <c r="BR18" i="2" s="1"/>
  <c r="BU18" i="2" s="1"/>
  <c r="BX18" i="2" s="1"/>
  <c r="CA18" i="2" s="1"/>
  <c r="CD18" i="2" s="1"/>
  <c r="CG18" i="2" s="1"/>
  <c r="CJ18" i="2" s="1"/>
  <c r="CM18" i="2" s="1"/>
  <c r="CP18" i="2" s="1"/>
  <c r="CS18" i="2" s="1"/>
  <c r="CV18" i="2" s="1"/>
  <c r="CY18" i="2" s="1"/>
  <c r="DB18" i="2" s="1"/>
  <c r="DE18" i="2" s="1"/>
  <c r="DH18" i="2" s="1"/>
  <c r="DK18" i="2" s="1"/>
  <c r="DN18" i="2" s="1"/>
  <c r="DQ18" i="2" s="1"/>
  <c r="DT18" i="2" s="1"/>
  <c r="DW18" i="2" s="1"/>
  <c r="DX17" i="2"/>
  <c r="DY17" i="2" s="1"/>
  <c r="J17" i="2"/>
  <c r="M17" i="2" s="1"/>
  <c r="P17" i="2" s="1"/>
  <c r="S17" i="2" s="1"/>
  <c r="V17" i="2" s="1"/>
  <c r="Y17" i="2" s="1"/>
  <c r="AB17" i="2" s="1"/>
  <c r="AE17" i="2" s="1"/>
  <c r="AH17" i="2" s="1"/>
  <c r="AK17" i="2" s="1"/>
  <c r="AN17" i="2" s="1"/>
  <c r="AQ17" i="2" s="1"/>
  <c r="AT17" i="2" s="1"/>
  <c r="AW17" i="2" s="1"/>
  <c r="AZ17" i="2" s="1"/>
  <c r="BC17" i="2" s="1"/>
  <c r="BF17" i="2" s="1"/>
  <c r="BI17" i="2" s="1"/>
  <c r="BL17" i="2" s="1"/>
  <c r="BO17" i="2" s="1"/>
  <c r="BR17" i="2" s="1"/>
  <c r="BU17" i="2" s="1"/>
  <c r="BX17" i="2" s="1"/>
  <c r="CA17" i="2" s="1"/>
  <c r="CD17" i="2" s="1"/>
  <c r="CG17" i="2" s="1"/>
  <c r="CJ17" i="2" s="1"/>
  <c r="CM17" i="2" s="1"/>
  <c r="CP17" i="2" s="1"/>
  <c r="CS17" i="2" s="1"/>
  <c r="CV17" i="2" s="1"/>
  <c r="CY17" i="2" s="1"/>
  <c r="DB17" i="2" s="1"/>
  <c r="DE17" i="2" s="1"/>
  <c r="DH17" i="2" s="1"/>
  <c r="DK17" i="2" s="1"/>
  <c r="DN17" i="2" s="1"/>
  <c r="DQ17" i="2" s="1"/>
  <c r="DT17" i="2" s="1"/>
  <c r="DW17" i="2" s="1"/>
  <c r="DX16" i="2"/>
  <c r="DY16" i="2" s="1"/>
  <c r="J16" i="2"/>
  <c r="M16" i="2" s="1"/>
  <c r="P16" i="2" s="1"/>
  <c r="S16" i="2" s="1"/>
  <c r="V16" i="2" s="1"/>
  <c r="Y16" i="2" s="1"/>
  <c r="AB16" i="2" s="1"/>
  <c r="AE16" i="2" s="1"/>
  <c r="AH16" i="2" s="1"/>
  <c r="AK16" i="2" s="1"/>
  <c r="AN16" i="2" s="1"/>
  <c r="AQ16" i="2" s="1"/>
  <c r="AT16" i="2" s="1"/>
  <c r="AW16" i="2" s="1"/>
  <c r="AZ16" i="2" s="1"/>
  <c r="BC16" i="2" s="1"/>
  <c r="BF16" i="2" s="1"/>
  <c r="BI16" i="2" s="1"/>
  <c r="BL16" i="2" s="1"/>
  <c r="BO16" i="2" s="1"/>
  <c r="BR16" i="2" s="1"/>
  <c r="BU16" i="2" s="1"/>
  <c r="BX16" i="2" s="1"/>
  <c r="CA16" i="2" s="1"/>
  <c r="CD16" i="2" s="1"/>
  <c r="CG16" i="2" s="1"/>
  <c r="CJ16" i="2" s="1"/>
  <c r="CM16" i="2" s="1"/>
  <c r="CP16" i="2" s="1"/>
  <c r="CS16" i="2" s="1"/>
  <c r="CV16" i="2" s="1"/>
  <c r="CY16" i="2" s="1"/>
  <c r="DB16" i="2" s="1"/>
  <c r="DE16" i="2" s="1"/>
  <c r="DH16" i="2" s="1"/>
  <c r="DK16" i="2" s="1"/>
  <c r="DN16" i="2" s="1"/>
  <c r="DQ16" i="2" s="1"/>
  <c r="DT16" i="2" s="1"/>
  <c r="DW16" i="2" s="1"/>
  <c r="DX15" i="2"/>
  <c r="DY15" i="2" s="1"/>
  <c r="J15" i="2"/>
  <c r="M15" i="2" s="1"/>
  <c r="P15" i="2" s="1"/>
  <c r="S15" i="2" s="1"/>
  <c r="V15" i="2" s="1"/>
  <c r="Y15" i="2" s="1"/>
  <c r="AB15" i="2" s="1"/>
  <c r="AE15" i="2" s="1"/>
  <c r="AH15" i="2" s="1"/>
  <c r="AK15" i="2" s="1"/>
  <c r="AN15" i="2" s="1"/>
  <c r="AQ15" i="2" s="1"/>
  <c r="AT15" i="2" s="1"/>
  <c r="AW15" i="2" s="1"/>
  <c r="AZ15" i="2" s="1"/>
  <c r="BC15" i="2" s="1"/>
  <c r="BF15" i="2" s="1"/>
  <c r="BI15" i="2" s="1"/>
  <c r="BL15" i="2" s="1"/>
  <c r="BO15" i="2" s="1"/>
  <c r="BR15" i="2" s="1"/>
  <c r="BU15" i="2" s="1"/>
  <c r="BX15" i="2" s="1"/>
  <c r="CA15" i="2" s="1"/>
  <c r="CD15" i="2" s="1"/>
  <c r="CG15" i="2" s="1"/>
  <c r="CJ15" i="2" s="1"/>
  <c r="CM15" i="2" s="1"/>
  <c r="CP15" i="2" s="1"/>
  <c r="CS15" i="2" s="1"/>
  <c r="CV15" i="2" s="1"/>
  <c r="CY15" i="2" s="1"/>
  <c r="DB15" i="2" s="1"/>
  <c r="DE15" i="2" s="1"/>
  <c r="DH15" i="2" s="1"/>
  <c r="DK15" i="2" s="1"/>
  <c r="DN15" i="2" s="1"/>
  <c r="DQ15" i="2" s="1"/>
  <c r="DT15" i="2" s="1"/>
  <c r="DW15" i="2" s="1"/>
  <c r="DX14" i="2"/>
  <c r="DY14" i="2" s="1"/>
  <c r="J14" i="2"/>
  <c r="M14" i="2" s="1"/>
  <c r="P14" i="2" s="1"/>
  <c r="S14" i="2" s="1"/>
  <c r="V14" i="2" s="1"/>
  <c r="Y14" i="2" s="1"/>
  <c r="AB14" i="2" s="1"/>
  <c r="AE14" i="2" s="1"/>
  <c r="AH14" i="2" s="1"/>
  <c r="AK14" i="2" s="1"/>
  <c r="AN14" i="2" s="1"/>
  <c r="AQ14" i="2" s="1"/>
  <c r="AT14" i="2" s="1"/>
  <c r="AW14" i="2" s="1"/>
  <c r="AZ14" i="2" s="1"/>
  <c r="BC14" i="2" s="1"/>
  <c r="BF14" i="2" s="1"/>
  <c r="BI14" i="2" s="1"/>
  <c r="BL14" i="2" s="1"/>
  <c r="BO14" i="2" s="1"/>
  <c r="BR14" i="2" s="1"/>
  <c r="BU14" i="2" s="1"/>
  <c r="BX14" i="2" s="1"/>
  <c r="CA14" i="2" s="1"/>
  <c r="CD14" i="2" s="1"/>
  <c r="CG14" i="2" s="1"/>
  <c r="CJ14" i="2" s="1"/>
  <c r="CM14" i="2" s="1"/>
  <c r="CP14" i="2" s="1"/>
  <c r="CS14" i="2" s="1"/>
  <c r="CV14" i="2" s="1"/>
  <c r="CY14" i="2" s="1"/>
  <c r="DB14" i="2" s="1"/>
  <c r="DE14" i="2" s="1"/>
  <c r="DH14" i="2" s="1"/>
  <c r="DK14" i="2" s="1"/>
  <c r="DN14" i="2" s="1"/>
  <c r="DQ14" i="2" s="1"/>
  <c r="DT14" i="2" s="1"/>
  <c r="DW14" i="2" s="1"/>
  <c r="DX13" i="2"/>
  <c r="DY13" i="2" s="1"/>
  <c r="J13" i="2"/>
  <c r="M13" i="2" s="1"/>
  <c r="P13" i="2" s="1"/>
  <c r="S13" i="2" s="1"/>
  <c r="V13" i="2" s="1"/>
  <c r="Y13" i="2" s="1"/>
  <c r="AB13" i="2" s="1"/>
  <c r="AE13" i="2" s="1"/>
  <c r="AH13" i="2" s="1"/>
  <c r="AK13" i="2" s="1"/>
  <c r="AN13" i="2" s="1"/>
  <c r="AQ13" i="2" s="1"/>
  <c r="AT13" i="2" s="1"/>
  <c r="AW13" i="2" s="1"/>
  <c r="AZ13" i="2" s="1"/>
  <c r="BC13" i="2" s="1"/>
  <c r="BF13" i="2" s="1"/>
  <c r="BI13" i="2" s="1"/>
  <c r="BL13" i="2" s="1"/>
  <c r="BO13" i="2" s="1"/>
  <c r="BR13" i="2" s="1"/>
  <c r="BU13" i="2" s="1"/>
  <c r="BX13" i="2" s="1"/>
  <c r="CA13" i="2" s="1"/>
  <c r="CD13" i="2" s="1"/>
  <c r="CG13" i="2" s="1"/>
  <c r="CJ13" i="2" s="1"/>
  <c r="CM13" i="2" s="1"/>
  <c r="CP13" i="2" s="1"/>
  <c r="CS13" i="2" s="1"/>
  <c r="CV13" i="2" s="1"/>
  <c r="CY13" i="2" s="1"/>
  <c r="DB13" i="2" s="1"/>
  <c r="DE13" i="2" s="1"/>
  <c r="DH13" i="2" s="1"/>
  <c r="DK13" i="2" s="1"/>
  <c r="DN13" i="2" s="1"/>
  <c r="DQ13" i="2" s="1"/>
  <c r="DT13" i="2" s="1"/>
  <c r="DW13" i="2" s="1"/>
  <c r="DX12" i="2"/>
  <c r="DY12" i="2" s="1"/>
  <c r="J12" i="2"/>
  <c r="M12" i="2" s="1"/>
  <c r="P12" i="2" s="1"/>
  <c r="S12" i="2" s="1"/>
  <c r="V12" i="2" s="1"/>
  <c r="Y12" i="2" s="1"/>
  <c r="AB12" i="2" s="1"/>
  <c r="AE12" i="2" s="1"/>
  <c r="AH12" i="2" s="1"/>
  <c r="AK12" i="2" s="1"/>
  <c r="AN12" i="2" s="1"/>
  <c r="AQ12" i="2" s="1"/>
  <c r="AT12" i="2" s="1"/>
  <c r="AW12" i="2" s="1"/>
  <c r="AZ12" i="2" s="1"/>
  <c r="BC12" i="2" s="1"/>
  <c r="BF12" i="2" s="1"/>
  <c r="BI12" i="2" s="1"/>
  <c r="BL12" i="2" s="1"/>
  <c r="BO12" i="2" s="1"/>
  <c r="BR12" i="2" s="1"/>
  <c r="BU12" i="2" s="1"/>
  <c r="BX12" i="2" s="1"/>
  <c r="CA12" i="2" s="1"/>
  <c r="CD12" i="2" s="1"/>
  <c r="CG12" i="2" s="1"/>
  <c r="CJ12" i="2" s="1"/>
  <c r="CM12" i="2" s="1"/>
  <c r="CP12" i="2" s="1"/>
  <c r="CS12" i="2" s="1"/>
  <c r="CV12" i="2" s="1"/>
  <c r="CY12" i="2" s="1"/>
  <c r="DB12" i="2" s="1"/>
  <c r="DE12" i="2" s="1"/>
  <c r="DH12" i="2" s="1"/>
  <c r="DK12" i="2" s="1"/>
  <c r="DN12" i="2" s="1"/>
  <c r="DQ12" i="2" s="1"/>
  <c r="DT12" i="2" s="1"/>
  <c r="DW12" i="2" s="1"/>
  <c r="DX11" i="2"/>
  <c r="DY11" i="2" s="1"/>
  <c r="J11" i="2"/>
  <c r="M11" i="2" s="1"/>
  <c r="P11" i="2" s="1"/>
  <c r="S11" i="2" s="1"/>
  <c r="V11" i="2" s="1"/>
  <c r="Y11" i="2" s="1"/>
  <c r="AB11" i="2" s="1"/>
  <c r="AE11" i="2" s="1"/>
  <c r="AH11" i="2" s="1"/>
  <c r="AK11" i="2" s="1"/>
  <c r="AN11" i="2" s="1"/>
  <c r="AQ11" i="2" s="1"/>
  <c r="AT11" i="2" s="1"/>
  <c r="AW11" i="2" s="1"/>
  <c r="AZ11" i="2" s="1"/>
  <c r="BC11" i="2" s="1"/>
  <c r="BF11" i="2" s="1"/>
  <c r="BI11" i="2" s="1"/>
  <c r="BL11" i="2" s="1"/>
  <c r="BO11" i="2" s="1"/>
  <c r="BR11" i="2" s="1"/>
  <c r="BU11" i="2" s="1"/>
  <c r="BX11" i="2" s="1"/>
  <c r="CA11" i="2" s="1"/>
  <c r="CD11" i="2" s="1"/>
  <c r="CG11" i="2" s="1"/>
  <c r="CJ11" i="2" s="1"/>
  <c r="CM11" i="2" s="1"/>
  <c r="CP11" i="2" s="1"/>
  <c r="CS11" i="2" s="1"/>
  <c r="CV11" i="2" s="1"/>
  <c r="CY11" i="2" s="1"/>
  <c r="DB11" i="2" s="1"/>
  <c r="DE11" i="2" s="1"/>
  <c r="DH11" i="2" s="1"/>
  <c r="DK11" i="2" s="1"/>
  <c r="DN11" i="2" s="1"/>
  <c r="DQ11" i="2" s="1"/>
  <c r="DT11" i="2" s="1"/>
  <c r="DW11" i="2" s="1"/>
  <c r="DX10" i="2"/>
  <c r="DY10" i="2" s="1"/>
  <c r="J10" i="2"/>
  <c r="M10" i="2" s="1"/>
  <c r="P10" i="2" s="1"/>
  <c r="S10" i="2" s="1"/>
  <c r="V10" i="2" s="1"/>
  <c r="Y10" i="2" s="1"/>
  <c r="AB10" i="2" s="1"/>
  <c r="AE10" i="2" s="1"/>
  <c r="AH10" i="2" s="1"/>
  <c r="AK10" i="2" s="1"/>
  <c r="AN10" i="2" s="1"/>
  <c r="AQ10" i="2" s="1"/>
  <c r="AT10" i="2" s="1"/>
  <c r="AW10" i="2" s="1"/>
  <c r="AZ10" i="2" s="1"/>
  <c r="BC10" i="2" s="1"/>
  <c r="BF10" i="2" s="1"/>
  <c r="BI10" i="2" s="1"/>
  <c r="BL10" i="2" s="1"/>
  <c r="BO10" i="2" s="1"/>
  <c r="BR10" i="2" s="1"/>
  <c r="BU10" i="2" s="1"/>
  <c r="BX10" i="2" s="1"/>
  <c r="CA10" i="2" s="1"/>
  <c r="CD10" i="2" s="1"/>
  <c r="CG10" i="2" s="1"/>
  <c r="CJ10" i="2" s="1"/>
  <c r="CM10" i="2" s="1"/>
  <c r="CP10" i="2" s="1"/>
  <c r="CS10" i="2" s="1"/>
  <c r="CV10" i="2" s="1"/>
  <c r="CY10" i="2" s="1"/>
  <c r="DB10" i="2" s="1"/>
  <c r="DE10" i="2" s="1"/>
  <c r="DH10" i="2" s="1"/>
  <c r="DK10" i="2" s="1"/>
  <c r="DN10" i="2" s="1"/>
  <c r="DQ10" i="2" s="1"/>
  <c r="DT10" i="2" s="1"/>
  <c r="DW10" i="2" s="1"/>
  <c r="DX9" i="2"/>
  <c r="DY9" i="2" s="1"/>
  <c r="J9" i="2"/>
  <c r="M9" i="2" s="1"/>
  <c r="P9" i="2" s="1"/>
  <c r="S9" i="2" s="1"/>
  <c r="V9" i="2" s="1"/>
  <c r="Y9" i="2" s="1"/>
  <c r="AB9" i="2" s="1"/>
  <c r="AE9" i="2" s="1"/>
  <c r="AH9" i="2" s="1"/>
  <c r="AK9" i="2" s="1"/>
  <c r="AN9" i="2" s="1"/>
  <c r="AQ9" i="2" s="1"/>
  <c r="AT9" i="2" s="1"/>
  <c r="AW9" i="2" s="1"/>
  <c r="AZ9" i="2" s="1"/>
  <c r="BC9" i="2" s="1"/>
  <c r="BF9" i="2" s="1"/>
  <c r="BI9" i="2" s="1"/>
  <c r="BL9" i="2" s="1"/>
  <c r="BO9" i="2" s="1"/>
  <c r="BR9" i="2" s="1"/>
  <c r="BU9" i="2" s="1"/>
  <c r="BX9" i="2" s="1"/>
  <c r="CA9" i="2" s="1"/>
  <c r="CD9" i="2" s="1"/>
  <c r="CG9" i="2" s="1"/>
  <c r="CJ9" i="2" s="1"/>
  <c r="CM9" i="2" s="1"/>
  <c r="CP9" i="2" s="1"/>
  <c r="CS9" i="2" s="1"/>
  <c r="CV9" i="2" s="1"/>
  <c r="CY9" i="2" s="1"/>
  <c r="DB9" i="2" s="1"/>
  <c r="DE9" i="2" s="1"/>
  <c r="DH9" i="2" s="1"/>
  <c r="DK9" i="2" s="1"/>
  <c r="DN9" i="2" s="1"/>
  <c r="DQ9" i="2" s="1"/>
  <c r="DT9" i="2" s="1"/>
  <c r="DW9" i="2" s="1"/>
  <c r="DX8" i="2"/>
  <c r="DY8" i="2" s="1"/>
  <c r="J8" i="2"/>
  <c r="M8" i="2" s="1"/>
  <c r="P8" i="2" s="1"/>
  <c r="S8" i="2" s="1"/>
  <c r="V8" i="2" s="1"/>
  <c r="Y8" i="2" s="1"/>
  <c r="AB8" i="2" s="1"/>
  <c r="AE8" i="2" s="1"/>
  <c r="AH8" i="2" s="1"/>
  <c r="AK8" i="2" s="1"/>
  <c r="AN8" i="2" s="1"/>
  <c r="AQ8" i="2" s="1"/>
  <c r="AT8" i="2" s="1"/>
  <c r="AW8" i="2" s="1"/>
  <c r="AZ8" i="2" s="1"/>
  <c r="BC8" i="2" s="1"/>
  <c r="BF8" i="2" s="1"/>
  <c r="BI8" i="2" s="1"/>
  <c r="BL8" i="2" s="1"/>
  <c r="BO8" i="2" s="1"/>
  <c r="BR8" i="2" s="1"/>
  <c r="BU8" i="2" s="1"/>
  <c r="BX8" i="2" s="1"/>
  <c r="CA8" i="2" s="1"/>
  <c r="CD8" i="2" s="1"/>
  <c r="CG8" i="2" s="1"/>
  <c r="CJ8" i="2" s="1"/>
  <c r="CM8" i="2" s="1"/>
  <c r="CP8" i="2" s="1"/>
  <c r="CS8" i="2" s="1"/>
  <c r="CV8" i="2" s="1"/>
  <c r="CY8" i="2" s="1"/>
  <c r="DB8" i="2" s="1"/>
  <c r="DE8" i="2" s="1"/>
  <c r="DH8" i="2" s="1"/>
  <c r="DK8" i="2" s="1"/>
  <c r="DN8" i="2" s="1"/>
  <c r="DQ8" i="2" s="1"/>
  <c r="DT8" i="2" s="1"/>
  <c r="DW8" i="2" s="1"/>
  <c r="DX7" i="2"/>
  <c r="DY7" i="2" s="1"/>
  <c r="J7" i="2"/>
  <c r="M7" i="2" s="1"/>
  <c r="P7" i="2" s="1"/>
  <c r="S7" i="2" s="1"/>
  <c r="V7" i="2" s="1"/>
  <c r="Y7" i="2" s="1"/>
  <c r="AB7" i="2" s="1"/>
  <c r="AE7" i="2" s="1"/>
  <c r="AH7" i="2" s="1"/>
  <c r="AK7" i="2" s="1"/>
  <c r="AN7" i="2" s="1"/>
  <c r="AQ7" i="2" s="1"/>
  <c r="AT7" i="2" s="1"/>
  <c r="AW7" i="2" s="1"/>
  <c r="AZ7" i="2" s="1"/>
  <c r="BC7" i="2" s="1"/>
  <c r="BF7" i="2" s="1"/>
  <c r="BI7" i="2" s="1"/>
  <c r="BL7" i="2" s="1"/>
  <c r="BO7" i="2" s="1"/>
  <c r="BR7" i="2" s="1"/>
  <c r="BU7" i="2" s="1"/>
  <c r="BX7" i="2" s="1"/>
  <c r="CA7" i="2" s="1"/>
  <c r="CD7" i="2" s="1"/>
  <c r="CG7" i="2" s="1"/>
  <c r="CJ7" i="2" s="1"/>
  <c r="CM7" i="2" s="1"/>
  <c r="CP7" i="2" s="1"/>
  <c r="CS7" i="2" s="1"/>
  <c r="CV7" i="2" s="1"/>
  <c r="CY7" i="2" s="1"/>
  <c r="DB7" i="2" s="1"/>
  <c r="DE7" i="2" s="1"/>
  <c r="DH7" i="2" s="1"/>
  <c r="DK7" i="2" s="1"/>
  <c r="DN7" i="2" s="1"/>
  <c r="DQ7" i="2" s="1"/>
  <c r="DT7" i="2" s="1"/>
  <c r="DW7" i="2" s="1"/>
  <c r="DX6" i="2"/>
  <c r="DY6" i="2" s="1"/>
  <c r="J6" i="2"/>
  <c r="M6" i="2" s="1"/>
  <c r="P6" i="2" s="1"/>
  <c r="S6" i="2" s="1"/>
  <c r="V6" i="2" s="1"/>
  <c r="Y6" i="2" s="1"/>
  <c r="AB6" i="2" s="1"/>
  <c r="AE6" i="2" s="1"/>
  <c r="AH6" i="2" s="1"/>
  <c r="AK6" i="2" s="1"/>
  <c r="AN6" i="2" s="1"/>
  <c r="AQ6" i="2" s="1"/>
  <c r="AT6" i="2" s="1"/>
  <c r="AW6" i="2" s="1"/>
  <c r="AZ6" i="2" s="1"/>
  <c r="BC6" i="2" s="1"/>
  <c r="BF6" i="2" s="1"/>
  <c r="BI6" i="2" s="1"/>
  <c r="BL6" i="2" s="1"/>
  <c r="BO6" i="2" s="1"/>
  <c r="BR6" i="2" s="1"/>
  <c r="BU6" i="2" s="1"/>
  <c r="BX6" i="2" s="1"/>
  <c r="CA6" i="2" s="1"/>
  <c r="CD6" i="2" s="1"/>
  <c r="CG6" i="2" s="1"/>
  <c r="CJ6" i="2" s="1"/>
  <c r="CM6" i="2" s="1"/>
  <c r="CP6" i="2" s="1"/>
  <c r="CS6" i="2" s="1"/>
  <c r="CV6" i="2" s="1"/>
  <c r="CY6" i="2" s="1"/>
  <c r="DB6" i="2" s="1"/>
  <c r="DE6" i="2" s="1"/>
  <c r="DH6" i="2" s="1"/>
  <c r="DK6" i="2" s="1"/>
  <c r="DN6" i="2" s="1"/>
  <c r="DQ6" i="2" s="1"/>
  <c r="DT6" i="2" s="1"/>
  <c r="DW6" i="2" s="1"/>
  <c r="BQ11" i="1"/>
  <c r="BR11" i="1" s="1"/>
  <c r="J11" i="1"/>
  <c r="M11" i="1" s="1"/>
  <c r="P11" i="1" s="1"/>
  <c r="S11" i="1" s="1"/>
  <c r="V11" i="1" s="1"/>
  <c r="Y11" i="1" s="1"/>
  <c r="AB11" i="1" s="1"/>
  <c r="AE11" i="1" s="1"/>
  <c r="AH11" i="1" s="1"/>
  <c r="AK11" i="1" s="1"/>
  <c r="AN11" i="1" s="1"/>
  <c r="AQ11" i="1" s="1"/>
  <c r="AT11" i="1" s="1"/>
  <c r="AW11" i="1" s="1"/>
  <c r="AZ11" i="1" s="1"/>
  <c r="BC11" i="1" s="1"/>
  <c r="BF11" i="1" s="1"/>
  <c r="BI11" i="1" s="1"/>
  <c r="BL11" i="1" s="1"/>
  <c r="BO11" i="1" s="1"/>
  <c r="BQ10" i="1"/>
  <c r="BR10" i="1" s="1"/>
  <c r="J10" i="1"/>
  <c r="M10" i="1" s="1"/>
  <c r="P10" i="1" s="1"/>
  <c r="S10" i="1" s="1"/>
  <c r="V10" i="1" s="1"/>
  <c r="Y10" i="1" s="1"/>
  <c r="AB10" i="1" s="1"/>
  <c r="AE10" i="1" s="1"/>
  <c r="AH10" i="1" s="1"/>
  <c r="AK10" i="1" s="1"/>
  <c r="AN10" i="1" s="1"/>
  <c r="AQ10" i="1" s="1"/>
  <c r="AT10" i="1" s="1"/>
  <c r="AW10" i="1" s="1"/>
  <c r="AZ10" i="1" s="1"/>
  <c r="BC10" i="1" s="1"/>
  <c r="BF10" i="1" s="1"/>
  <c r="BI10" i="1" s="1"/>
  <c r="BL10" i="1" s="1"/>
  <c r="BO10" i="1" s="1"/>
  <c r="BQ9" i="1"/>
  <c r="BR9" i="1" s="1"/>
  <c r="J9" i="1"/>
  <c r="M9" i="1" s="1"/>
  <c r="P9" i="1" s="1"/>
  <c r="S9" i="1" s="1"/>
  <c r="V9" i="1" s="1"/>
  <c r="Y9" i="1" s="1"/>
  <c r="AB9" i="1" s="1"/>
  <c r="AE9" i="1" s="1"/>
  <c r="AH9" i="1" s="1"/>
  <c r="AK9" i="1" s="1"/>
  <c r="AN9" i="1" s="1"/>
  <c r="AQ9" i="1" s="1"/>
  <c r="AT9" i="1" s="1"/>
  <c r="AW9" i="1" s="1"/>
  <c r="AZ9" i="1" s="1"/>
  <c r="BC9" i="1" s="1"/>
  <c r="BF9" i="1" s="1"/>
  <c r="BI9" i="1" s="1"/>
  <c r="BL9" i="1" s="1"/>
  <c r="BO9" i="1" s="1"/>
  <c r="BQ8" i="1"/>
  <c r="BR8" i="1" s="1"/>
  <c r="J8" i="1"/>
  <c r="M8" i="1" s="1"/>
  <c r="P8" i="1" s="1"/>
  <c r="S8" i="1" s="1"/>
  <c r="V8" i="1" s="1"/>
  <c r="Y8" i="1" s="1"/>
  <c r="AB8" i="1" s="1"/>
  <c r="AE8" i="1" s="1"/>
  <c r="AH8" i="1" s="1"/>
  <c r="AK8" i="1" s="1"/>
  <c r="AN8" i="1" s="1"/>
  <c r="AQ8" i="1" s="1"/>
  <c r="AT8" i="1" s="1"/>
  <c r="AW8" i="1" s="1"/>
  <c r="AZ8" i="1" s="1"/>
  <c r="BC8" i="1" s="1"/>
  <c r="BF8" i="1" s="1"/>
  <c r="BI8" i="1" s="1"/>
  <c r="BL8" i="1" s="1"/>
  <c r="BO8" i="1" s="1"/>
  <c r="BQ7" i="1"/>
  <c r="BR7" i="1" s="1"/>
  <c r="J7" i="1"/>
  <c r="M7" i="1" s="1"/>
  <c r="P7" i="1" s="1"/>
  <c r="S7" i="1" s="1"/>
  <c r="V7" i="1" s="1"/>
  <c r="Y7" i="1" s="1"/>
  <c r="AB7" i="1" s="1"/>
  <c r="AE7" i="1" s="1"/>
  <c r="AH7" i="1" s="1"/>
  <c r="AK7" i="1" s="1"/>
  <c r="AN7" i="1" s="1"/>
  <c r="AQ7" i="1" s="1"/>
  <c r="AT7" i="1" s="1"/>
  <c r="AW7" i="1" s="1"/>
  <c r="AZ7" i="1" s="1"/>
  <c r="BC7" i="1" s="1"/>
  <c r="BF7" i="1" s="1"/>
  <c r="BI7" i="1" s="1"/>
  <c r="BL7" i="1" s="1"/>
  <c r="BO7" i="1" s="1"/>
  <c r="BQ6" i="1"/>
  <c r="BR6" i="1" s="1"/>
  <c r="J6" i="1"/>
  <c r="M6" i="1" s="1"/>
  <c r="P6" i="1" s="1"/>
  <c r="S6" i="1" s="1"/>
  <c r="V6" i="1" s="1"/>
  <c r="Y6" i="1" s="1"/>
  <c r="AB6" i="1" s="1"/>
  <c r="AE6" i="1" s="1"/>
  <c r="AH6" i="1" s="1"/>
  <c r="AK6" i="1" s="1"/>
  <c r="AN6" i="1" s="1"/>
  <c r="AQ6" i="1" s="1"/>
  <c r="AT6" i="1" s="1"/>
  <c r="AW6" i="1" s="1"/>
  <c r="AZ6" i="1" s="1"/>
  <c r="BC6" i="1" s="1"/>
  <c r="BF6" i="1" s="1"/>
  <c r="BI6" i="1" s="1"/>
  <c r="BL6" i="1" s="1"/>
</calcChain>
</file>

<file path=xl/sharedStrings.xml><?xml version="1.0" encoding="utf-8"?>
<sst xmlns="http://schemas.openxmlformats.org/spreadsheetml/2006/main" count="717" uniqueCount="266">
  <si>
    <t>Sprint Backlog 2</t>
  </si>
  <si>
    <t>Sprint Backlog 0</t>
  </si>
  <si>
    <t>Sprint Backlog 3</t>
  </si>
  <si>
    <t>Detalle de tareas e historias de usuario</t>
  </si>
  <si>
    <t>Día 1</t>
  </si>
  <si>
    <t>Sprint Backlog 1</t>
  </si>
  <si>
    <t>Día 2</t>
  </si>
  <si>
    <t>Día 3</t>
  </si>
  <si>
    <t>Día 4</t>
  </si>
  <si>
    <t>Día 5</t>
  </si>
  <si>
    <t>Día 6</t>
  </si>
  <si>
    <t>4 NOV</t>
  </si>
  <si>
    <t>Día 7</t>
  </si>
  <si>
    <t>Día 8</t>
  </si>
  <si>
    <t>Día 9</t>
  </si>
  <si>
    <t>Día 10</t>
  </si>
  <si>
    <t>Día 11</t>
  </si>
  <si>
    <t>Día 12</t>
  </si>
  <si>
    <t>11 AGO</t>
  </si>
  <si>
    <t>Día 13</t>
  </si>
  <si>
    <t>Día 14</t>
  </si>
  <si>
    <t>Día 15</t>
  </si>
  <si>
    <t>Día 16</t>
  </si>
  <si>
    <t>Día 17</t>
  </si>
  <si>
    <t>Día 18</t>
  </si>
  <si>
    <t>Día 19</t>
  </si>
  <si>
    <t>Día 20</t>
  </si>
  <si>
    <t>Día 21</t>
  </si>
  <si>
    <t>Día 22</t>
  </si>
  <si>
    <t>Total</t>
  </si>
  <si>
    <t>Identificador (ID) de item de product backlog</t>
  </si>
  <si>
    <t>Enunciado del item de Product Backlog</t>
  </si>
  <si>
    <t>Tarea</t>
  </si>
  <si>
    <t>Dueño / Voluntario</t>
  </si>
  <si>
    <t>Estatus</t>
  </si>
  <si>
    <t>ID Tarea</t>
  </si>
  <si>
    <t>Horas estimadas totales</t>
  </si>
  <si>
    <t>Cons.</t>
  </si>
  <si>
    <t>Rest.</t>
  </si>
  <si>
    <t>HU-09</t>
  </si>
  <si>
    <t>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</si>
  <si>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Determinar que algoritmos se usarán</t>
  </si>
  <si>
    <t>01 SEP</t>
  </si>
  <si>
    <t>Marcelo Valladares</t>
  </si>
  <si>
    <t>Nuevo</t>
  </si>
  <si>
    <t>HU-05 - T1</t>
  </si>
  <si>
    <t>HU-12</t>
  </si>
  <si>
    <t>Como usuario interesado, necesito una interfaz web clara con un formulario interactivo para el ingreso de variables del Tamarugo, con la finalidad de registrar los parámetros de campo de manera intuitiva y visualmente ordenada desde cualquier navegador.</t>
  </si>
  <si>
    <t>Diseñar la interfaz web</t>
  </si>
  <si>
    <t>Antonia Lizana</t>
  </si>
  <si>
    <t>Cerrado</t>
  </si>
  <si>
    <t>HU-12 T1</t>
  </si>
  <si>
    <t>HU-01</t>
  </si>
  <si>
    <t>Como evaluador docente, necesito revisar el marco de definición, factibilidad y evidencias iniciales del proyecto, con la finalidad de validar el inicio formal de HarvesTam - Edu.</t>
  </si>
  <si>
    <t>Investigar y conocer acerca del cliente</t>
  </si>
  <si>
    <t>Antonia Lizana, Marcelo Valladares</t>
  </si>
  <si>
    <t>Día 23</t>
  </si>
  <si>
    <t>HU-01 - T1</t>
  </si>
  <si>
    <t>Día 24</t>
  </si>
  <si>
    <t>Día 25</t>
  </si>
  <si>
    <t>Día 26</t>
  </si>
  <si>
    <t>Día 27</t>
  </si>
  <si>
    <t>Día 28</t>
  </si>
  <si>
    <t>Día 29</t>
  </si>
  <si>
    <t>Día 30</t>
  </si>
  <si>
    <t>Día 31</t>
  </si>
  <si>
    <t>Día 32</t>
  </si>
  <si>
    <t>Día 33</t>
  </si>
  <si>
    <t>Día 34</t>
  </si>
  <si>
    <t>Día 35</t>
  </si>
  <si>
    <t>Día 36</t>
  </si>
  <si>
    <t>Día 37</t>
  </si>
  <si>
    <t>Día 38</t>
  </si>
  <si>
    <t>Día 39</t>
  </si>
  <si>
    <t>Día 40</t>
  </si>
  <si>
    <t>HU-06</t>
  </si>
  <si>
    <t>Como equipo de desarrollo, necesito estructurar el Documento de Arquitectura de Software (DAS) con diagramas de alto y bajo nivel, con la finalidad de definir la interacción técnica entre la interfaz web, el backend, la API de inferencia y el modelo serializado previo a su construcción.</t>
  </si>
  <si>
    <t>Desarrollar el frontend</t>
  </si>
  <si>
    <t>Discutir estructura y arquitectura del sistema</t>
  </si>
  <si>
    <t>HU-12 T2</t>
  </si>
  <si>
    <t>HU-06 - T1</t>
  </si>
  <si>
    <t>Entrenar algoritmos con el conjunto de entrenamiento</t>
  </si>
  <si>
    <t>HU-05 T2</t>
  </si>
  <si>
    <t>HU-13</t>
  </si>
  <si>
    <t>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</si>
  <si>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Configurar el servidor backend y carga del modelo</t>
  </si>
  <si>
    <t>HU-13 T1</t>
  </si>
  <si>
    <t>Investigar y conocer acerca de la especie Prosopis Tamarugo</t>
  </si>
  <si>
    <t>HU-01 - T2</t>
  </si>
  <si>
    <t>Estudiar algoritmos probabilisticos para machine learning</t>
  </si>
  <si>
    <t>HU-05 -T3</t>
  </si>
  <si>
    <t>Configurar middleware de autenticación en FastAPI</t>
  </si>
  <si>
    <t>HU-13 T2</t>
  </si>
  <si>
    <t>Ajuste de hiperparámetros</t>
  </si>
  <si>
    <t>HU-05-T4</t>
  </si>
  <si>
    <t>Elaboración de documentación del proyecto</t>
  </si>
  <si>
    <t>HU-01 - T3</t>
  </si>
  <si>
    <t>Crear el endpoint de predicción</t>
  </si>
  <si>
    <t>HU-13 T3</t>
  </si>
  <si>
    <t>HU-10</t>
  </si>
  <si>
    <t>Como equipo de desarrollo, necesito calcular y comparar las métricas de rendimiento sobre el conjunto de prueba independiente, con la finalidad de fundamentar con rigor matemático la elección del algoritmo final que se integrará en producción.</t>
  </si>
  <si>
    <t>Inferencia y predicción sobre el conjunto de prueba independiente</t>
  </si>
  <si>
    <t>HU-06 T1</t>
  </si>
  <si>
    <t>Establecer primeros lineamientos del proyecto</t>
  </si>
  <si>
    <t>HU-01 - T4</t>
  </si>
  <si>
    <t>Validar la integración entre frontend y backend</t>
  </si>
  <si>
    <t>HU-13 T4</t>
  </si>
  <si>
    <t>Elaboración de matriz comparativa y reporte de selección final</t>
  </si>
  <si>
    <t>HU-06 T2</t>
  </si>
  <si>
    <t>HU-02</t>
  </si>
  <si>
    <t>Como equipo de desarrollo, necesito configurar el repositorio de control de versiones y los canales de gestión ágil, con la finalidad de asegurar la trazabilidad y colaboración del proyecto.</t>
  </si>
  <si>
    <t>Configuración de herramientas de coordinación</t>
  </si>
  <si>
    <t>HU-02 - T1</t>
  </si>
  <si>
    <t>Cálculo de métricas cuantitativas de evaluación</t>
  </si>
  <si>
    <t>HU-14</t>
  </si>
  <si>
    <t>HU-06 T3</t>
  </si>
  <si>
    <t>Como equipo de desarrollo, necesito realizar pruebas de integración extremo a extremo sobre el flujo completo de consulta web, con la finalidad de certificar la robustez del sistema, la coherencia de los resultados calculados y la usabilidad antes de la entrega final.</t>
  </si>
  <si>
    <t>Diseñar casos de prueba del sistema</t>
  </si>
  <si>
    <t>HU-14 T1</t>
  </si>
  <si>
    <t>Elaboración de diagramas de distintos tipos</t>
  </si>
  <si>
    <t>HU-06- T2</t>
  </si>
  <si>
    <t>Configuración de repositorios de evidencias</t>
  </si>
  <si>
    <t>HU-02 - T2</t>
  </si>
  <si>
    <t>HU-11</t>
  </si>
  <si>
    <t>Como equipo de desarrollo, necesito empaquetar y serializar el modelo seleccionado junto a sus transformaciones de preprocesamiento en un archivo persistente, con la finalidad de facilitar su posterior consumo y carga rápida dentro del backend de la plataforma web.</t>
  </si>
  <si>
    <t>Serialización del artefacto predictivo y pipeline asociado</t>
  </si>
  <si>
    <t>HU-07 T1</t>
  </si>
  <si>
    <t>Implementación de casos de prueba</t>
  </si>
  <si>
    <t>HU-14 T2</t>
  </si>
  <si>
    <t>Subir modelo a evidencias del proyecto</t>
  </si>
  <si>
    <t>HU-07 T2</t>
  </si>
  <si>
    <t>Registro de defectos</t>
  </si>
  <si>
    <t>Elaboración del documento DAS</t>
  </si>
  <si>
    <t>HU-14 T3</t>
  </si>
  <si>
    <t>HU-06- T3</t>
  </si>
  <si>
    <t>Implementar manejo de errores y validaciones límite</t>
  </si>
  <si>
    <t>HU-14 T4</t>
  </si>
  <si>
    <t>HU-03</t>
  </si>
  <si>
    <t>Como equipo de desarrollo, necesito realizar un análisis exploratorio y un diagnóstico exhaustivo de calidad sobre los datos históricos del Tamarugo, con la finalidad de identificar inconsistencias, anomalías numéricas, distribuciones y variables clave asociadas a la carga frutal.</t>
  </si>
  <si>
    <t>Configuración de entorno de desarrollo</t>
  </si>
  <si>
    <t>HU-03 - T1</t>
  </si>
  <si>
    <t>Elaboracion de documentación de pruebas</t>
  </si>
  <si>
    <t>HU-14 T5</t>
  </si>
  <si>
    <t>HU-15</t>
  </si>
  <si>
    <t>Como usuario interesado, necesito registrar una cuenta mediante correo electronico y contraseña, e iniciar sesion con mis credenciales y poder cerrar mi sesion cuando lo decida con la finalidad de disponer de credenciales personales para acceder a las funciones del sistema</t>
  </si>
  <si>
    <t>Configurar proyecto en Supabase</t>
  </si>
  <si>
    <t>HU-15 T1</t>
  </si>
  <si>
    <t xml:space="preserve">Carga e inspección preliminar del dataset/datasets histórico </t>
  </si>
  <si>
    <t>HU-03 - T2</t>
  </si>
  <si>
    <t>Diseñar y maquetar el formulario de registro</t>
  </si>
  <si>
    <t>HU-15 T2</t>
  </si>
  <si>
    <t>Implementar validaciones en cliente con TypeScript</t>
  </si>
  <si>
    <t>HU-15 T3</t>
  </si>
  <si>
    <t>Detección y perfilado de valores nulos y registros incompletos</t>
  </si>
  <si>
    <t>HU-03 - T3</t>
  </si>
  <si>
    <t>Diseñar y maquetar la vista y formulario de Login</t>
  </si>
  <si>
    <t>HU-15 T4</t>
  </si>
  <si>
    <t>Implementar la función de autenticación</t>
  </si>
  <si>
    <t>HU-15 T5</t>
  </si>
  <si>
    <t>Análisis estadístico univariado, bivariado y distribuciones</t>
  </si>
  <si>
    <t>HU-03 - T4</t>
  </si>
  <si>
    <t>Diseñar el botón y flujo de Logout</t>
  </si>
  <si>
    <t>HU-15 T6</t>
  </si>
  <si>
    <t>Análisis de matriz de correlación</t>
  </si>
  <si>
    <t>HU-03 - T5</t>
  </si>
  <si>
    <t>Configurar mensajes de error genéricos y amigables</t>
  </si>
  <si>
    <t>HU-15 T7</t>
  </si>
  <si>
    <t>HU-16</t>
  </si>
  <si>
    <t>Como sistema, quiero restringir la entrada a módulos de consulta y dashboard mediante el control de roles, con la finalidad de garantizar que solo usuarios autenticados operen la herramienta y que las métricas globales queden reservadas para el administrador.</t>
  </si>
  <si>
    <t>Crear el campo de rol</t>
  </si>
  <si>
    <t>HU-16T1</t>
  </si>
  <si>
    <t>Identificación visual y analítica de valores atípicos</t>
  </si>
  <si>
    <t>HU-03 - T6</t>
  </si>
  <si>
    <t>Implementar middleware o guardián de rutas</t>
  </si>
  <si>
    <t>HU-16 T2</t>
  </si>
  <si>
    <t>Implementar la protección condicional de la ruta</t>
  </si>
  <si>
    <t>HU-16 T3</t>
  </si>
  <si>
    <t>HU-03 - T7</t>
  </si>
  <si>
    <t>HU-17</t>
  </si>
  <si>
    <t>Como administrador del sistema, quiero visualizar un dashboard interactivo con indicadores consolidados de uso, con la finalidad de conocer el volumen de actividad general, el total de usuarios y las tendencias predictivas registradas en la plataforma.</t>
  </si>
  <si>
    <t>Diseñar las consultas SQL o vistas en Supabase para obtener las métricas agregadas globales</t>
  </si>
  <si>
    <t>HU-17 T1</t>
  </si>
  <si>
    <t>Diseñar y estructurar el layout del panel de administración</t>
  </si>
  <si>
    <t>HU-17 T2</t>
  </si>
  <si>
    <t>HU-04</t>
  </si>
  <si>
    <t>Como equipo de desarrollo, necesito construir un pipeline de preprocesamiento para tratar nulos, depurar atípicos, normalizar variables, con la finalidad de generar un conjunto de datos limpio, consistente y apto para el entrenamiento de los algoritmos.</t>
  </si>
  <si>
    <t>Implementación de ingeniería de características</t>
  </si>
  <si>
    <t>HU-04 - T1</t>
  </si>
  <si>
    <t>Integrar una librería de gráficos ligera</t>
  </si>
  <si>
    <t>HU-17 T3</t>
  </si>
  <si>
    <t>Implementar la tabla de auditoría global</t>
  </si>
  <si>
    <t>HU-17 T4</t>
  </si>
  <si>
    <t>Implementación de estrategias para valores faltantes</t>
  </si>
  <si>
    <t>HU-04 - T2</t>
  </si>
  <si>
    <t>Diseñar el estado visual vacío</t>
  </si>
  <si>
    <t>HU-17 T5</t>
  </si>
  <si>
    <t>HU-18</t>
  </si>
  <si>
    <t>Como usuario autenticado, necesito consultar el historial personal de mis estimaciones de carga frutal, con la finalidad de llevar un registro trazable de las evaluaciones que he realizado en mis visitas a terreno.</t>
  </si>
  <si>
    <t>Modificar la rutina de guardado de predicciones</t>
  </si>
  <si>
    <t>HU-18 T1</t>
  </si>
  <si>
    <t>Tratamiento y depuración de valores atípicos</t>
  </si>
  <si>
    <t>HU-04 - T3</t>
  </si>
  <si>
    <t>Configurar políticas de seguridad a nivel de fila</t>
  </si>
  <si>
    <t>HU-18 T2</t>
  </si>
  <si>
    <t>Diseñar la vista "Mis Estimaciones"</t>
  </si>
  <si>
    <t>HU-18 T3</t>
  </si>
  <si>
    <t>Transformación y codificación de variables</t>
  </si>
  <si>
    <t>HU-04 - T4</t>
  </si>
  <si>
    <t>Implementar el consumo de datos filtrados por usuario</t>
  </si>
  <si>
    <t>HU-18 T4</t>
  </si>
  <si>
    <t>HU-19</t>
  </si>
  <si>
    <t>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</si>
  <si>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Exportación y versionado del dataset limpio</t>
  </si>
  <si>
    <t>Redactar el informe final consolidado del proyecto</t>
  </si>
  <si>
    <t>HU-04 - T5</t>
  </si>
  <si>
    <t>En progreso</t>
  </si>
  <si>
    <t>HU-19 T1</t>
  </si>
  <si>
    <t>Consolidar el repositorio final y evidencias</t>
  </si>
  <si>
    <t>HU-19 T2</t>
  </si>
  <si>
    <t>Partición del conjunto de datos</t>
  </si>
  <si>
    <t>HU-04 - T6</t>
  </si>
  <si>
    <t>Escalado y normalización de variables</t>
  </si>
  <si>
    <t>HU-04 - T7</t>
  </si>
  <si>
    <t>HU-05</t>
  </si>
  <si>
    <t>Como cientifico de datos necesito tener un dataset completo y enriquecido, más allá de las mediciones para trabajar con un elemento eficiente.</t>
  </si>
  <si>
    <t>Investigar en la web dataset climático de la 1er Región</t>
  </si>
  <si>
    <t>Conversión archivo crudo a dataset</t>
  </si>
  <si>
    <t>HU-05 - T2</t>
  </si>
  <si>
    <t>Integrar datos del arbol a dataset de frutos</t>
  </si>
  <si>
    <t>HU-05 - T3</t>
  </si>
  <si>
    <t>Crear un dataset unificado</t>
  </si>
  <si>
    <t>HU-05 - T4</t>
  </si>
  <si>
    <t>Probar en entorno local</t>
  </si>
  <si>
    <t>HU-05 - T5</t>
  </si>
  <si>
    <t>HU-07</t>
  </si>
  <si>
    <t>Como docente evaluador necesito disponder de una interfaz visual que represente el funcionamiento del modelo para tener la certeza de como va a ser el modelo y su funcionamiento.</t>
  </si>
  <si>
    <t xml:space="preserve">Diseñar el formulario de entrada de datos </t>
  </si>
  <si>
    <t>HU-07 -T1</t>
  </si>
  <si>
    <t>Vincular el formulario con la simulación</t>
  </si>
  <si>
    <t>HU-07 -T2</t>
  </si>
  <si>
    <t>Maquetar estados de carga</t>
  </si>
  <si>
    <t>HU-07 -T3</t>
  </si>
  <si>
    <t>Crear script de respuestas simuladas</t>
  </si>
  <si>
    <t>HU-07 -T4</t>
  </si>
  <si>
    <t>HU-08</t>
  </si>
  <si>
    <t>Como evaluador docente, necesito revisar el informe de avance intermedio y lo sartefactos parciales de datos y experimentales con la finalidad de certificar la continuidad operativa, el ritmo de los sprint y la visibilidad tecnica antes del cierre de la fase 2.</t>
  </si>
  <si>
    <t>Actualización de evidencias y tableros de gestión</t>
  </si>
  <si>
    <t>HU-08 T1</t>
  </si>
  <si>
    <t>Consolidación de informe técnico de avance  fase 2</t>
  </si>
  <si>
    <t>HU-08 T2</t>
  </si>
  <si>
    <t>Lista de tareas de la iteración (Sprint Backlog): Instructivo</t>
  </si>
  <si>
    <t>Elaborado por: pmoinformatica.com</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</si>
  <si>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</si>
  <si>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</si>
  <si>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</si>
  <si>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</si>
  <si>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</si>
  <si>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</si>
  <si>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</si>
  <si>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</si>
  <si>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</si>
  <si>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</si>
  <si>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</si>
  <si>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</si>
  <si>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</si>
  <si>
    <t>Reunion de discusión para estrategias de etapa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</si>
</sst>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rial"/>
      <scheme val="minor"/>
    </font>
    <font>
      <sz val="11"/>
      <color theme="1"/>
      <name val="Calibri"/>
    </font>
    <font>
      <b/>
      <sz val="22"/>
      <color theme="1"/>
      <name val="Calibri"/>
    </font>
    <font>
      <sz val="11"/>
      <name val="Arial"/>
    </font>
    <font>
      <b/>
      <sz val="16"/>
      <color rgb="FF1F497D"/>
      <name val="Calibri"/>
    </font>
    <font>
      <sz val="11"/>
      <color theme="0"/>
      <name val="Calibri"/>
    </font>
    <font>
      <sz val="11"/>
      <color rgb="FFFFFFFF"/>
      <name val="Calibri"/>
    </font>
    <font>
      <sz val="11"/>
      <color theme="1"/>
      <name val="Arial"/>
      <scheme val="minor"/>
    </font>
    <font>
      <sz val="11"/>
      <color theme="1"/>
      <name val="Calibri"/>
    </font>
    <font>
      <sz val="11"/>
      <color theme="1"/>
      <name val="Arial"/>
    </font>
    <font>
      <sz val="11"/>
      <color theme="1"/>
      <name val="Arial"/>
    </font>
  </fonts>
  <fills count="7">
    <fill>
      <patternFill patternType="none"/>
    </fill>
    <fill>
      <patternFill patternType="gray125"/>
    </fill>
    <fill>
      <patternFill patternType="solid">
        <fgColor theme="0"/>
        <bgColor theme="0"/>
      </patternFill>
    </fill>
    <fill>
      <patternFill patternType="solid">
        <fgColor rgb="FFD9EAD3"/>
        <bgColor rgb="FFD9EAD3"/>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17">
    <border>
      <left/>
      <right/>
      <top/>
      <bottom/>
      <diagonal/>
    </border>
    <border>
      <left/>
      <right/>
      <top/>
      <bottom/>
      <diagonal/>
    </border>
    <border>
      <left/>
      <right/>
      <top/>
      <bottom/>
      <diagonal/>
    </border>
    <border>
      <left/>
      <right/>
      <top/>
      <bottom/>
      <diagonal/>
    </border>
    <border>
      <left style="thin">
        <color rgb="FF38761D"/>
      </left>
      <right style="thin">
        <color rgb="FF38761D"/>
      </right>
      <top style="thin">
        <color rgb="FF38761D"/>
      </top>
      <bottom style="thin">
        <color rgb="FF38761D"/>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top/>
      <bottom/>
      <diagonal/>
    </border>
  </borders>
  <cellStyleXfs count="1">
    <xf numFmtId="0" fontId="0" fillId="0" borderId="0"/>
  </cellStyleXfs>
  <cellXfs count="43">
    <xf numFmtId="0" fontId="0" fillId="0" borderId="0" xfId="0"/>
    <xf numFmtId="0" fontId="1" fillId="2" borderId="1" xfId="0" applyFont="1" applyFill="1" applyBorder="1"/>
    <xf numFmtId="0" fontId="1"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horizontal="center" vertical="center"/>
    </xf>
    <xf numFmtId="16" fontId="1" fillId="3" borderId="4" xfId="0" applyNumberFormat="1" applyFont="1" applyFill="1" applyBorder="1" applyAlignment="1">
      <alignment horizontal="center" vertical="center"/>
    </xf>
    <xf numFmtId="0" fontId="4" fillId="2" borderId="1" xfId="0" applyFont="1" applyFill="1" applyBorder="1"/>
    <xf numFmtId="0" fontId="5" fillId="4" borderId="7" xfId="0" applyFont="1" applyFill="1" applyBorder="1" applyAlignment="1">
      <alignment horizontal="center" vertical="center" wrapText="1"/>
    </xf>
    <xf numFmtId="49" fontId="1" fillId="3" borderId="4" xfId="0" applyNumberFormat="1" applyFont="1" applyFill="1" applyBorder="1" applyAlignment="1">
      <alignment horizontal="center" vertical="center"/>
    </xf>
    <xf numFmtId="0" fontId="5" fillId="4" borderId="9" xfId="0" applyFont="1" applyFill="1" applyBorder="1" applyAlignment="1">
      <alignment horizontal="center" vertical="center" wrapText="1"/>
    </xf>
    <xf numFmtId="0" fontId="6" fillId="4" borderId="10"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1" fillId="2" borderId="9" xfId="0" applyFont="1" applyFill="1" applyBorder="1" applyAlignment="1">
      <alignment horizontal="left" vertical="center" wrapText="1"/>
    </xf>
    <xf numFmtId="0" fontId="1" fillId="3" borderId="4" xfId="0" applyFont="1" applyFill="1" applyBorder="1" applyAlignment="1">
      <alignment horizontal="center"/>
    </xf>
    <xf numFmtId="0" fontId="1" fillId="2" borderId="9" xfId="0" applyFont="1" applyFill="1" applyBorder="1" applyAlignment="1">
      <alignment horizontal="center" vertical="center" wrapText="1"/>
    </xf>
    <xf numFmtId="0" fontId="1" fillId="5" borderId="9" xfId="0" applyFont="1" applyFill="1" applyBorder="1" applyAlignment="1">
      <alignment horizontal="center" vertical="center" wrapText="1"/>
    </xf>
    <xf numFmtId="0" fontId="7" fillId="0" borderId="12" xfId="0" applyFont="1" applyBorder="1"/>
    <xf numFmtId="0" fontId="1" fillId="6" borderId="9" xfId="0" applyFont="1" applyFill="1" applyBorder="1" applyAlignment="1">
      <alignment horizontal="center" vertical="center" wrapText="1"/>
    </xf>
    <xf numFmtId="0" fontId="8" fillId="0" borderId="0" xfId="0" applyFont="1" applyAlignment="1">
      <alignment horizontal="center" vertical="center" wrapText="1"/>
    </xf>
    <xf numFmtId="0" fontId="9" fillId="0" borderId="0" xfId="0" applyFont="1" applyAlignment="1">
      <alignment horizontal="center" vertical="center"/>
    </xf>
    <xf numFmtId="0" fontId="1" fillId="0" borderId="9" xfId="0" applyFont="1" applyBorder="1" applyAlignment="1">
      <alignment vertical="center" wrapText="1"/>
    </xf>
    <xf numFmtId="0" fontId="1" fillId="2" borderId="9" xfId="0" applyFont="1" applyFill="1" applyBorder="1" applyAlignment="1">
      <alignment horizontal="center" vertical="center"/>
    </xf>
    <xf numFmtId="0" fontId="8" fillId="0" borderId="9" xfId="0" applyFont="1" applyBorder="1" applyAlignment="1">
      <alignment horizontal="center" vertical="center" wrapText="1"/>
    </xf>
    <xf numFmtId="0" fontId="10" fillId="0" borderId="0" xfId="0" applyFont="1" applyAlignment="1">
      <alignment horizontal="center" vertical="center"/>
    </xf>
    <xf numFmtId="0" fontId="1" fillId="2" borderId="2" xfId="0" applyFont="1" applyFill="1" applyBorder="1"/>
    <xf numFmtId="0" fontId="1" fillId="2" borderId="16" xfId="0" applyFont="1" applyFill="1" applyBorder="1"/>
    <xf numFmtId="0" fontId="5" fillId="4" borderId="9" xfId="0" applyFont="1" applyFill="1" applyBorder="1"/>
    <xf numFmtId="0" fontId="1" fillId="2" borderId="9" xfId="0" applyFont="1" applyFill="1" applyBorder="1" applyAlignment="1">
      <alignment horizontal="left" vertical="top" wrapText="1"/>
    </xf>
    <xf numFmtId="0" fontId="5" fillId="4" borderId="8" xfId="0" applyFont="1" applyFill="1" applyBorder="1" applyAlignment="1">
      <alignment horizontal="center" vertical="center" wrapText="1"/>
    </xf>
    <xf numFmtId="0" fontId="3" fillId="0" borderId="6" xfId="0" applyFont="1" applyBorder="1"/>
    <xf numFmtId="0" fontId="1" fillId="2" borderId="11" xfId="0" applyFont="1" applyFill="1" applyBorder="1" applyAlignment="1">
      <alignment horizontal="left" vertical="center" wrapText="1"/>
    </xf>
    <xf numFmtId="0" fontId="3" fillId="0" borderId="14" xfId="0" applyFont="1" applyBorder="1"/>
    <xf numFmtId="0" fontId="3" fillId="0" borderId="13" xfId="0" applyFont="1" applyBorder="1"/>
    <xf numFmtId="0" fontId="2" fillId="2" borderId="2" xfId="0" applyFont="1" applyFill="1" applyBorder="1"/>
    <xf numFmtId="0" fontId="3" fillId="0" borderId="3" xfId="0" applyFont="1" applyBorder="1"/>
    <xf numFmtId="0" fontId="4" fillId="2" borderId="2" xfId="0" applyFont="1" applyFill="1" applyBorder="1"/>
    <xf numFmtId="0" fontId="5" fillId="4" borderId="5" xfId="0" applyFont="1" applyFill="1" applyBorder="1" applyAlignment="1">
      <alignment horizontal="center" vertical="center" wrapText="1"/>
    </xf>
    <xf numFmtId="0" fontId="6" fillId="4" borderId="8"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3" fillId="0" borderId="15" xfId="0" applyFont="1" applyBorder="1"/>
    <xf numFmtId="0" fontId="8" fillId="0" borderId="11" xfId="0" applyFont="1" applyBorder="1" applyAlignment="1">
      <alignment horizontal="center" vertical="center" wrapText="1"/>
    </xf>
    <xf numFmtId="0" fontId="2" fillId="2" borderId="2" xfId="0" applyFont="1" applyFill="1" applyBorder="1" applyAlignment="1">
      <alignment horizontal="center" vertical="center"/>
    </xf>
    <xf numFmtId="0" fontId="4" fillId="2" borderId="2"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BR1000"/>
  <sheetViews>
    <sheetView workbookViewId="0">
      <pane xSplit="6" ySplit="5" topLeftCell="G6" activePane="bottomRight" state="frozen"/>
      <selection pane="topRight" activeCell="G1" sqref="G1"/>
      <selection pane="bottomLeft" activeCell="A6" sqref="A6"/>
      <selection pane="bottomRight" activeCell="G6" sqref="G6"/>
    </sheetView>
  </sheetViews>
  <sheetFormatPr baseColWidth="10" defaultColWidth="12.59765625" defaultRowHeight="15" customHeight="1" x14ac:dyDescent="0.25"/>
  <cols>
    <col min="1" max="1" width="1.19921875" customWidth="1"/>
    <col min="2" max="2" width="14.3984375" customWidth="1"/>
    <col min="3" max="3" width="29.69921875" customWidth="1"/>
    <col min="4" max="4" width="18.19921875" customWidth="1"/>
    <col min="5" max="5" width="21.19921875" customWidth="1"/>
    <col min="6" max="6" width="18.19921875" customWidth="1"/>
    <col min="7" max="8" width="13.5" customWidth="1"/>
    <col min="9" max="9" width="5.09765625" customWidth="1"/>
    <col min="10" max="10" width="4.69921875" customWidth="1"/>
    <col min="11" max="11" width="2.3984375" customWidth="1"/>
    <col min="12" max="12" width="5.09765625" customWidth="1"/>
    <col min="13" max="13" width="4.69921875" customWidth="1"/>
    <col min="14" max="14" width="2.3984375" customWidth="1"/>
    <col min="15" max="15" width="5.09765625" customWidth="1"/>
    <col min="16" max="16" width="4.69921875" customWidth="1"/>
    <col min="17" max="17" width="2.3984375" customWidth="1"/>
    <col min="18" max="18" width="5.09765625" customWidth="1"/>
    <col min="19" max="19" width="4.69921875" customWidth="1"/>
    <col min="20" max="20" width="2.3984375" customWidth="1"/>
    <col min="21" max="21" width="5.09765625" customWidth="1"/>
    <col min="22" max="22" width="4.69921875" customWidth="1"/>
    <col min="23" max="23" width="2.3984375" customWidth="1"/>
    <col min="24" max="24" width="5.09765625" customWidth="1"/>
    <col min="25" max="25" width="4.69921875" customWidth="1"/>
    <col min="26" max="26" width="2.3984375" customWidth="1"/>
    <col min="27" max="27" width="5.09765625" customWidth="1"/>
    <col min="28" max="28" width="4.69921875" customWidth="1"/>
    <col min="29" max="29" width="2.3984375" customWidth="1"/>
    <col min="30" max="30" width="5.09765625" customWidth="1"/>
    <col min="31" max="31" width="4.69921875" customWidth="1"/>
    <col min="32" max="32" width="2.3984375" customWidth="1"/>
    <col min="33" max="33" width="5.09765625" customWidth="1"/>
    <col min="34" max="34" width="4.69921875" customWidth="1"/>
    <col min="35" max="35" width="1.69921875" customWidth="1"/>
    <col min="36" max="36" width="5.09765625" customWidth="1"/>
    <col min="37" max="37" width="4.69921875" customWidth="1"/>
    <col min="38" max="38" width="1.19921875" customWidth="1"/>
    <col min="39" max="39" width="5.09765625" customWidth="1"/>
    <col min="40" max="40" width="4.69921875" customWidth="1"/>
    <col min="41" max="41" width="2.3984375" customWidth="1"/>
    <col min="42" max="42" width="5.09765625" customWidth="1"/>
    <col min="43" max="43" width="4.69921875" customWidth="1"/>
    <col min="44" max="44" width="2.3984375" customWidth="1"/>
    <col min="45" max="45" width="5.09765625" customWidth="1"/>
    <col min="46" max="46" width="4.69921875" customWidth="1"/>
    <col min="47" max="47" width="2.3984375" customWidth="1"/>
    <col min="48" max="48" width="5.09765625" customWidth="1"/>
    <col min="49" max="49" width="4.69921875" customWidth="1"/>
    <col min="50" max="50" width="2.3984375" customWidth="1"/>
    <col min="51" max="51" width="5.09765625" customWidth="1"/>
    <col min="52" max="52" width="4.69921875" customWidth="1"/>
    <col min="53" max="53" width="2.3984375" customWidth="1"/>
    <col min="54" max="54" width="5.09765625" customWidth="1"/>
    <col min="55" max="55" width="4.69921875" customWidth="1"/>
    <col min="56" max="56" width="2.3984375" customWidth="1"/>
    <col min="57" max="57" width="5.09765625" customWidth="1"/>
    <col min="58" max="58" width="4.69921875" customWidth="1"/>
    <col min="59" max="59" width="2.3984375" customWidth="1"/>
    <col min="60" max="60" width="5.09765625" customWidth="1"/>
    <col min="61" max="61" width="4.69921875" customWidth="1"/>
    <col min="62" max="62" width="2.3984375" customWidth="1"/>
    <col min="63" max="63" width="5.09765625" customWidth="1"/>
    <col min="64" max="64" width="4.69921875" customWidth="1"/>
    <col min="65" max="65" width="2.3984375" customWidth="1"/>
    <col min="66" max="66" width="5.09765625" customWidth="1"/>
    <col min="67" max="67" width="4.69921875" customWidth="1"/>
    <col min="68" max="68" width="2.3984375" customWidth="1"/>
    <col min="69" max="69" width="5.09765625" customWidth="1"/>
    <col min="70" max="70" width="4.69921875" customWidth="1"/>
  </cols>
  <sheetData>
    <row r="1" spans="1:70" ht="28.8" x14ac:dyDescent="0.55000000000000004">
      <c r="A1" s="1"/>
      <c r="B1" s="3"/>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row>
    <row r="2" spans="1:70" ht="28.8" x14ac:dyDescent="0.55000000000000004">
      <c r="A2" s="1"/>
      <c r="B2" s="3"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row>
    <row r="3" spans="1:70" ht="21" x14ac:dyDescent="0.4">
      <c r="A3" s="1"/>
      <c r="B3" s="6" t="s">
        <v>3</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row>
    <row r="4" spans="1:70" ht="14.4" x14ac:dyDescent="0.3">
      <c r="A4" s="1"/>
      <c r="B4" s="1"/>
      <c r="C4" s="1"/>
      <c r="D4" s="1"/>
      <c r="E4" s="1"/>
      <c r="F4" s="1"/>
      <c r="G4" s="1"/>
      <c r="H4" s="8" t="s">
        <v>18</v>
      </c>
      <c r="I4" s="36" t="s">
        <v>4</v>
      </c>
      <c r="J4" s="29"/>
      <c r="K4" s="7"/>
      <c r="L4" s="28" t="s">
        <v>6</v>
      </c>
      <c r="M4" s="29"/>
      <c r="N4" s="7"/>
      <c r="O4" s="28" t="s">
        <v>7</v>
      </c>
      <c r="P4" s="29"/>
      <c r="Q4" s="7"/>
      <c r="R4" s="28" t="s">
        <v>8</v>
      </c>
      <c r="S4" s="29"/>
      <c r="T4" s="7"/>
      <c r="U4" s="28" t="s">
        <v>9</v>
      </c>
      <c r="V4" s="29"/>
      <c r="W4" s="7"/>
      <c r="X4" s="28" t="s">
        <v>10</v>
      </c>
      <c r="Y4" s="29"/>
      <c r="Z4" s="7"/>
      <c r="AA4" s="28" t="s">
        <v>12</v>
      </c>
      <c r="AB4" s="29"/>
      <c r="AC4" s="7"/>
      <c r="AD4" s="28" t="s">
        <v>13</v>
      </c>
      <c r="AE4" s="29"/>
      <c r="AF4" s="7"/>
      <c r="AG4" s="28" t="s">
        <v>14</v>
      </c>
      <c r="AH4" s="29"/>
      <c r="AI4" s="7"/>
      <c r="AJ4" s="28" t="s">
        <v>15</v>
      </c>
      <c r="AK4" s="29"/>
      <c r="AL4" s="7"/>
      <c r="AM4" s="28" t="s">
        <v>16</v>
      </c>
      <c r="AN4" s="29"/>
      <c r="AO4" s="7"/>
      <c r="AP4" s="28" t="s">
        <v>17</v>
      </c>
      <c r="AQ4" s="29"/>
      <c r="AR4" s="7"/>
      <c r="AS4" s="28" t="s">
        <v>19</v>
      </c>
      <c r="AT4" s="29"/>
      <c r="AU4" s="7"/>
      <c r="AV4" s="28" t="s">
        <v>20</v>
      </c>
      <c r="AW4" s="29"/>
      <c r="AX4" s="7"/>
      <c r="AY4" s="28" t="s">
        <v>21</v>
      </c>
      <c r="AZ4" s="29"/>
      <c r="BA4" s="7"/>
      <c r="BB4" s="28" t="s">
        <v>22</v>
      </c>
      <c r="BC4" s="29"/>
      <c r="BD4" s="7"/>
      <c r="BE4" s="28" t="s">
        <v>23</v>
      </c>
      <c r="BF4" s="29"/>
      <c r="BG4" s="7"/>
      <c r="BH4" s="28" t="s">
        <v>24</v>
      </c>
      <c r="BI4" s="29"/>
      <c r="BJ4" s="7"/>
      <c r="BK4" s="28" t="s">
        <v>25</v>
      </c>
      <c r="BL4" s="29"/>
      <c r="BM4" s="7"/>
      <c r="BN4" s="28" t="s">
        <v>26</v>
      </c>
      <c r="BO4" s="29"/>
      <c r="BP4" s="7"/>
      <c r="BQ4" s="28" t="s">
        <v>29</v>
      </c>
      <c r="BR4" s="29"/>
    </row>
    <row r="5" spans="1:70" ht="43.2" x14ac:dyDescent="0.3">
      <c r="A5" s="1"/>
      <c r="B5" s="9" t="s">
        <v>30</v>
      </c>
      <c r="C5" s="9" t="s">
        <v>31</v>
      </c>
      <c r="D5" s="9" t="s">
        <v>32</v>
      </c>
      <c r="E5" s="9" t="s">
        <v>33</v>
      </c>
      <c r="F5" s="9" t="s">
        <v>34</v>
      </c>
      <c r="G5" s="10" t="s">
        <v>35</v>
      </c>
      <c r="H5" s="11" t="s">
        <v>36</v>
      </c>
      <c r="I5" s="11" t="s">
        <v>37</v>
      </c>
      <c r="J5" s="11" t="s">
        <v>38</v>
      </c>
      <c r="K5" s="11"/>
      <c r="L5" s="11" t="s">
        <v>37</v>
      </c>
      <c r="M5" s="11" t="s">
        <v>38</v>
      </c>
      <c r="N5" s="11"/>
      <c r="O5" s="11" t="s">
        <v>37</v>
      </c>
      <c r="P5" s="11" t="s">
        <v>38</v>
      </c>
      <c r="Q5" s="11"/>
      <c r="R5" s="11" t="s">
        <v>37</v>
      </c>
      <c r="S5" s="11" t="s">
        <v>38</v>
      </c>
      <c r="T5" s="11"/>
      <c r="U5" s="11" t="s">
        <v>37</v>
      </c>
      <c r="V5" s="11" t="s">
        <v>38</v>
      </c>
      <c r="W5" s="11"/>
      <c r="X5" s="11" t="s">
        <v>37</v>
      </c>
      <c r="Y5" s="11" t="s">
        <v>38</v>
      </c>
      <c r="Z5" s="11"/>
      <c r="AA5" s="11" t="s">
        <v>37</v>
      </c>
      <c r="AB5" s="11" t="s">
        <v>38</v>
      </c>
      <c r="AC5" s="11"/>
      <c r="AD5" s="11" t="s">
        <v>37</v>
      </c>
      <c r="AE5" s="11" t="s">
        <v>38</v>
      </c>
      <c r="AF5" s="11"/>
      <c r="AG5" s="11" t="s">
        <v>37</v>
      </c>
      <c r="AH5" s="11" t="s">
        <v>38</v>
      </c>
      <c r="AI5" s="11"/>
      <c r="AJ5" s="11" t="s">
        <v>37</v>
      </c>
      <c r="AK5" s="11" t="s">
        <v>38</v>
      </c>
      <c r="AL5" s="11"/>
      <c r="AM5" s="11" t="s">
        <v>37</v>
      </c>
      <c r="AN5" s="11" t="s">
        <v>38</v>
      </c>
      <c r="AO5" s="11"/>
      <c r="AP5" s="11" t="s">
        <v>37</v>
      </c>
      <c r="AQ5" s="11" t="s">
        <v>38</v>
      </c>
      <c r="AR5" s="11"/>
      <c r="AS5" s="11" t="s">
        <v>37</v>
      </c>
      <c r="AT5" s="11" t="s">
        <v>38</v>
      </c>
      <c r="AU5" s="11"/>
      <c r="AV5" s="11" t="s">
        <v>37</v>
      </c>
      <c r="AW5" s="11" t="s">
        <v>38</v>
      </c>
      <c r="AX5" s="11"/>
      <c r="AY5" s="11" t="s">
        <v>37</v>
      </c>
      <c r="AZ5" s="11" t="s">
        <v>38</v>
      </c>
      <c r="BA5" s="11"/>
      <c r="BB5" s="11" t="s">
        <v>37</v>
      </c>
      <c r="BC5" s="11" t="s">
        <v>38</v>
      </c>
      <c r="BD5" s="11"/>
      <c r="BE5" s="11" t="s">
        <v>37</v>
      </c>
      <c r="BF5" s="11" t="s">
        <v>38</v>
      </c>
      <c r="BG5" s="11"/>
      <c r="BH5" s="11" t="s">
        <v>37</v>
      </c>
      <c r="BI5" s="11" t="s">
        <v>38</v>
      </c>
      <c r="BJ5" s="11"/>
      <c r="BK5" s="11" t="s">
        <v>37</v>
      </c>
      <c r="BL5" s="11" t="s">
        <v>38</v>
      </c>
      <c r="BM5" s="11"/>
      <c r="BN5" s="11" t="s">
        <v>37</v>
      </c>
      <c r="BO5" s="11" t="s">
        <v>38</v>
      </c>
      <c r="BP5" s="11"/>
      <c r="BQ5" s="11" t="s">
        <v>37</v>
      </c>
      <c r="BR5" s="11" t="s">
        <v>38</v>
      </c>
    </row>
    <row r="6" spans="1:70" ht="42" customHeight="1" x14ac:dyDescent="0.3">
      <c r="A6" s="1"/>
      <c r="B6" s="38" t="s">
        <v>52</v>
      </c>
      <c r="C6" s="30" t="s">
        <v>53</v>
      </c>
      <c r="D6" s="12" t="s">
        <v>54</v>
      </c>
      <c r="E6" s="14" t="s">
        <v>55</v>
      </c>
      <c r="F6" s="14" t="s">
        <v>50</v>
      </c>
      <c r="G6" s="14" t="s">
        <v>57</v>
      </c>
      <c r="H6" s="14">
        <v>4</v>
      </c>
      <c r="I6" s="14"/>
      <c r="J6" s="14">
        <f t="shared" ref="J6:J11" si="0">H6-I6</f>
        <v>4</v>
      </c>
      <c r="K6" s="15"/>
      <c r="L6" s="14"/>
      <c r="M6" s="14">
        <f t="shared" ref="M6:M11" si="1">J6-L6</f>
        <v>4</v>
      </c>
      <c r="N6" s="15"/>
      <c r="O6" s="14"/>
      <c r="P6" s="14">
        <f t="shared" ref="P6:P11" si="2">M6-O6</f>
        <v>4</v>
      </c>
      <c r="Q6" s="15"/>
      <c r="R6" s="14"/>
      <c r="S6" s="14">
        <f t="shared" ref="S6:S11" si="3">P6-R6</f>
        <v>4</v>
      </c>
      <c r="T6" s="15"/>
      <c r="U6" s="14">
        <v>2</v>
      </c>
      <c r="V6" s="14">
        <f t="shared" ref="V6:V11" si="4">S6-U6</f>
        <v>2</v>
      </c>
      <c r="W6" s="15"/>
      <c r="X6" s="14">
        <v>2</v>
      </c>
      <c r="Y6" s="14">
        <f t="shared" ref="Y6:Y11" si="5">V6-X6</f>
        <v>0</v>
      </c>
      <c r="Z6" s="15"/>
      <c r="AA6" s="14"/>
      <c r="AB6" s="14">
        <f t="shared" ref="AB6:AB11" si="6">Y6-AA6</f>
        <v>0</v>
      </c>
      <c r="AC6" s="15"/>
      <c r="AD6" s="14"/>
      <c r="AE6" s="14">
        <f t="shared" ref="AE6:AE11" si="7">AB6-AD6</f>
        <v>0</v>
      </c>
      <c r="AF6" s="15"/>
      <c r="AG6" s="14"/>
      <c r="AH6" s="14">
        <f t="shared" ref="AH6:AH11" si="8">AE6-AG6</f>
        <v>0</v>
      </c>
      <c r="AI6" s="15"/>
      <c r="AJ6" s="14"/>
      <c r="AK6" s="14">
        <f t="shared" ref="AK6:AK11" si="9">AH6-AJ6</f>
        <v>0</v>
      </c>
      <c r="AL6" s="15"/>
      <c r="AM6" s="14"/>
      <c r="AN6" s="14">
        <f t="shared" ref="AN6:AN11" si="10">AK6-AM6</f>
        <v>0</v>
      </c>
      <c r="AO6" s="15"/>
      <c r="AP6" s="14"/>
      <c r="AQ6" s="14">
        <f t="shared" ref="AQ6:AQ11" si="11">AN6-AP6</f>
        <v>0</v>
      </c>
      <c r="AR6" s="15"/>
      <c r="AS6" s="14"/>
      <c r="AT6" s="14">
        <f t="shared" ref="AT6:AT11" si="12">AQ6-AS6</f>
        <v>0</v>
      </c>
      <c r="AU6" s="15"/>
      <c r="AV6" s="14"/>
      <c r="AW6" s="14">
        <f t="shared" ref="AW6:AW11" si="13">AT6-AV6</f>
        <v>0</v>
      </c>
      <c r="AX6" s="15"/>
      <c r="AY6" s="14"/>
      <c r="AZ6" s="14">
        <f t="shared" ref="AZ6:AZ11" si="14">AW6-AY6</f>
        <v>0</v>
      </c>
      <c r="BA6" s="15"/>
      <c r="BB6" s="14"/>
      <c r="BC6" s="14">
        <f t="shared" ref="BC6:BC11" si="15">AZ6-BB6</f>
        <v>0</v>
      </c>
      <c r="BD6" s="15"/>
      <c r="BE6" s="14"/>
      <c r="BF6" s="14">
        <f t="shared" ref="BF6:BF11" si="16">BC6-BE6</f>
        <v>0</v>
      </c>
      <c r="BG6" s="15"/>
      <c r="BH6" s="14"/>
      <c r="BI6" s="14">
        <f t="shared" ref="BI6:BI11" si="17">BF6-BH6</f>
        <v>0</v>
      </c>
      <c r="BJ6" s="15"/>
      <c r="BK6" s="14"/>
      <c r="BL6" s="14">
        <f t="shared" ref="BL6:BL11" si="18">BI6-BK6</f>
        <v>0</v>
      </c>
      <c r="BM6" s="15"/>
      <c r="BN6" s="14"/>
      <c r="BO6" s="14">
        <v>0</v>
      </c>
      <c r="BP6" s="15"/>
      <c r="BQ6" s="17">
        <f t="shared" ref="BQ6:BQ11" si="19">I6+L6+O6+R6+U6+X6+AA6+AD6+AG6+AJ6+AM6+AP6+AS6+AV6+AY6+BB6+BE6+BH6+BK6+BN6</f>
        <v>4</v>
      </c>
      <c r="BR6" s="17">
        <f t="shared" ref="BR6:BR11" si="20">H6-BQ6</f>
        <v>0</v>
      </c>
    </row>
    <row r="7" spans="1:70" ht="43.2" x14ac:dyDescent="0.3">
      <c r="A7" s="1"/>
      <c r="B7" s="31"/>
      <c r="C7" s="31"/>
      <c r="D7" s="12" t="s">
        <v>87</v>
      </c>
      <c r="E7" s="14" t="s">
        <v>55</v>
      </c>
      <c r="F7" s="14" t="s">
        <v>50</v>
      </c>
      <c r="G7" s="14" t="s">
        <v>88</v>
      </c>
      <c r="H7" s="14">
        <v>6</v>
      </c>
      <c r="I7" s="14"/>
      <c r="J7" s="14">
        <f t="shared" si="0"/>
        <v>6</v>
      </c>
      <c r="K7" s="15"/>
      <c r="L7" s="14"/>
      <c r="M7" s="14">
        <f t="shared" si="1"/>
        <v>6</v>
      </c>
      <c r="N7" s="15"/>
      <c r="O7" s="14"/>
      <c r="P7" s="14">
        <f t="shared" si="2"/>
        <v>6</v>
      </c>
      <c r="Q7" s="15"/>
      <c r="R7" s="14"/>
      <c r="S7" s="14">
        <f t="shared" si="3"/>
        <v>6</v>
      </c>
      <c r="T7" s="15"/>
      <c r="U7" s="14"/>
      <c r="V7" s="14">
        <f t="shared" si="4"/>
        <v>6</v>
      </c>
      <c r="W7" s="15"/>
      <c r="X7" s="14">
        <v>2</v>
      </c>
      <c r="Y7" s="14">
        <f t="shared" si="5"/>
        <v>4</v>
      </c>
      <c r="Z7" s="15"/>
      <c r="AA7" s="14">
        <v>2</v>
      </c>
      <c r="AB7" s="14">
        <f t="shared" si="6"/>
        <v>2</v>
      </c>
      <c r="AC7" s="15"/>
      <c r="AD7" s="14">
        <v>2</v>
      </c>
      <c r="AE7" s="14">
        <f t="shared" si="7"/>
        <v>0</v>
      </c>
      <c r="AF7" s="15"/>
      <c r="AG7" s="14"/>
      <c r="AH7" s="14">
        <f t="shared" si="8"/>
        <v>0</v>
      </c>
      <c r="AI7" s="15"/>
      <c r="AJ7" s="14"/>
      <c r="AK7" s="14">
        <f t="shared" si="9"/>
        <v>0</v>
      </c>
      <c r="AL7" s="15"/>
      <c r="AM7" s="14"/>
      <c r="AN7" s="14">
        <f t="shared" si="10"/>
        <v>0</v>
      </c>
      <c r="AO7" s="15"/>
      <c r="AP7" s="14"/>
      <c r="AQ7" s="14">
        <f t="shared" si="11"/>
        <v>0</v>
      </c>
      <c r="AR7" s="15"/>
      <c r="AS7" s="14"/>
      <c r="AT7" s="14">
        <f t="shared" si="12"/>
        <v>0</v>
      </c>
      <c r="AU7" s="15"/>
      <c r="AV7" s="14"/>
      <c r="AW7" s="14">
        <f t="shared" si="13"/>
        <v>0</v>
      </c>
      <c r="AX7" s="15"/>
      <c r="AY7" s="14"/>
      <c r="AZ7" s="14">
        <f t="shared" si="14"/>
        <v>0</v>
      </c>
      <c r="BA7" s="15"/>
      <c r="BB7" s="14"/>
      <c r="BC7" s="14">
        <f t="shared" si="15"/>
        <v>0</v>
      </c>
      <c r="BD7" s="15"/>
      <c r="BE7" s="14"/>
      <c r="BF7" s="14">
        <f t="shared" si="16"/>
        <v>0</v>
      </c>
      <c r="BG7" s="15"/>
      <c r="BH7" s="14"/>
      <c r="BI7" s="14">
        <f t="shared" si="17"/>
        <v>0</v>
      </c>
      <c r="BJ7" s="15"/>
      <c r="BK7" s="14"/>
      <c r="BL7" s="14">
        <f t="shared" si="18"/>
        <v>0</v>
      </c>
      <c r="BM7" s="15"/>
      <c r="BN7" s="14"/>
      <c r="BO7" s="14">
        <f t="shared" ref="BO7:BO11" si="21">BL7-BN7</f>
        <v>0</v>
      </c>
      <c r="BP7" s="15"/>
      <c r="BQ7" s="17">
        <f t="shared" si="19"/>
        <v>6</v>
      </c>
      <c r="BR7" s="17">
        <f t="shared" si="20"/>
        <v>0</v>
      </c>
    </row>
    <row r="8" spans="1:70" ht="43.2" x14ac:dyDescent="0.3">
      <c r="A8" s="1"/>
      <c r="B8" s="31"/>
      <c r="C8" s="31"/>
      <c r="D8" s="12" t="s">
        <v>95</v>
      </c>
      <c r="E8" s="14" t="s">
        <v>55</v>
      </c>
      <c r="F8" s="14" t="s">
        <v>50</v>
      </c>
      <c r="G8" s="14" t="s">
        <v>96</v>
      </c>
      <c r="H8" s="14">
        <v>6</v>
      </c>
      <c r="I8" s="14"/>
      <c r="J8" s="14">
        <f t="shared" si="0"/>
        <v>6</v>
      </c>
      <c r="K8" s="15"/>
      <c r="L8" s="14"/>
      <c r="M8" s="14">
        <f t="shared" si="1"/>
        <v>6</v>
      </c>
      <c r="N8" s="15"/>
      <c r="O8" s="14"/>
      <c r="P8" s="14">
        <f t="shared" si="2"/>
        <v>6</v>
      </c>
      <c r="Q8" s="15"/>
      <c r="R8" s="14"/>
      <c r="S8" s="14">
        <f t="shared" si="3"/>
        <v>6</v>
      </c>
      <c r="T8" s="15"/>
      <c r="U8" s="14"/>
      <c r="V8" s="14">
        <f t="shared" si="4"/>
        <v>6</v>
      </c>
      <c r="W8" s="15"/>
      <c r="X8" s="14"/>
      <c r="Y8" s="14">
        <f t="shared" si="5"/>
        <v>6</v>
      </c>
      <c r="Z8" s="15"/>
      <c r="AA8" s="14"/>
      <c r="AB8" s="14">
        <f t="shared" si="6"/>
        <v>6</v>
      </c>
      <c r="AC8" s="15"/>
      <c r="AD8" s="14"/>
      <c r="AE8" s="14">
        <f t="shared" si="7"/>
        <v>6</v>
      </c>
      <c r="AF8" s="15"/>
      <c r="AG8" s="14"/>
      <c r="AH8" s="14">
        <f t="shared" si="8"/>
        <v>6</v>
      </c>
      <c r="AI8" s="15"/>
      <c r="AJ8" s="14"/>
      <c r="AK8" s="14">
        <f t="shared" si="9"/>
        <v>6</v>
      </c>
      <c r="AL8" s="15"/>
      <c r="AM8" s="14"/>
      <c r="AN8" s="14">
        <f t="shared" si="10"/>
        <v>6</v>
      </c>
      <c r="AO8" s="15"/>
      <c r="AP8" s="14"/>
      <c r="AQ8" s="14">
        <f t="shared" si="11"/>
        <v>6</v>
      </c>
      <c r="AR8" s="15"/>
      <c r="AS8" s="14"/>
      <c r="AT8" s="14">
        <f t="shared" si="12"/>
        <v>6</v>
      </c>
      <c r="AU8" s="15"/>
      <c r="AV8" s="14"/>
      <c r="AW8" s="14">
        <f t="shared" si="13"/>
        <v>6</v>
      </c>
      <c r="AX8" s="15"/>
      <c r="AY8" s="14"/>
      <c r="AZ8" s="14">
        <f t="shared" si="14"/>
        <v>6</v>
      </c>
      <c r="BA8" s="15"/>
      <c r="BB8" s="14">
        <v>1</v>
      </c>
      <c r="BC8" s="14">
        <f t="shared" si="15"/>
        <v>5</v>
      </c>
      <c r="BD8" s="15"/>
      <c r="BE8" s="14">
        <v>2</v>
      </c>
      <c r="BF8" s="14">
        <f t="shared" si="16"/>
        <v>3</v>
      </c>
      <c r="BG8" s="15"/>
      <c r="BH8" s="14">
        <v>3</v>
      </c>
      <c r="BI8" s="14">
        <f t="shared" si="17"/>
        <v>0</v>
      </c>
      <c r="BJ8" s="15"/>
      <c r="BK8" s="14"/>
      <c r="BL8" s="14">
        <f t="shared" si="18"/>
        <v>0</v>
      </c>
      <c r="BM8" s="15"/>
      <c r="BN8" s="14"/>
      <c r="BO8" s="14">
        <f t="shared" si="21"/>
        <v>0</v>
      </c>
      <c r="BP8" s="15"/>
      <c r="BQ8" s="17">
        <f t="shared" si="19"/>
        <v>6</v>
      </c>
      <c r="BR8" s="17">
        <f t="shared" si="20"/>
        <v>0</v>
      </c>
    </row>
    <row r="9" spans="1:70" ht="43.2" x14ac:dyDescent="0.3">
      <c r="A9" s="1"/>
      <c r="B9" s="32"/>
      <c r="C9" s="32"/>
      <c r="D9" s="12" t="s">
        <v>103</v>
      </c>
      <c r="E9" s="14" t="s">
        <v>55</v>
      </c>
      <c r="F9" s="14" t="s">
        <v>50</v>
      </c>
      <c r="G9" s="14" t="s">
        <v>104</v>
      </c>
      <c r="H9" s="14">
        <v>6</v>
      </c>
      <c r="I9" s="14"/>
      <c r="J9" s="14">
        <f t="shared" si="0"/>
        <v>6</v>
      </c>
      <c r="K9" s="15"/>
      <c r="L9" s="14"/>
      <c r="M9" s="14">
        <f t="shared" si="1"/>
        <v>6</v>
      </c>
      <c r="N9" s="15"/>
      <c r="O9" s="14"/>
      <c r="P9" s="14">
        <f t="shared" si="2"/>
        <v>6</v>
      </c>
      <c r="Q9" s="15"/>
      <c r="R9" s="14"/>
      <c r="S9" s="14">
        <f t="shared" si="3"/>
        <v>6</v>
      </c>
      <c r="T9" s="15"/>
      <c r="U9" s="14"/>
      <c r="V9" s="14">
        <f t="shared" si="4"/>
        <v>6</v>
      </c>
      <c r="W9" s="15"/>
      <c r="X9" s="14"/>
      <c r="Y9" s="14">
        <f t="shared" si="5"/>
        <v>6</v>
      </c>
      <c r="Z9" s="15"/>
      <c r="AA9" s="14"/>
      <c r="AB9" s="14">
        <f t="shared" si="6"/>
        <v>6</v>
      </c>
      <c r="AC9" s="15"/>
      <c r="AD9" s="14"/>
      <c r="AE9" s="14">
        <f t="shared" si="7"/>
        <v>6</v>
      </c>
      <c r="AF9" s="15"/>
      <c r="AG9" s="14"/>
      <c r="AH9" s="14">
        <f t="shared" si="8"/>
        <v>6</v>
      </c>
      <c r="AI9" s="15"/>
      <c r="AJ9" s="14">
        <v>2</v>
      </c>
      <c r="AK9" s="14">
        <f t="shared" si="9"/>
        <v>4</v>
      </c>
      <c r="AL9" s="15"/>
      <c r="AM9" s="14"/>
      <c r="AN9" s="14">
        <f t="shared" si="10"/>
        <v>4</v>
      </c>
      <c r="AO9" s="15"/>
      <c r="AP9" s="14">
        <v>3</v>
      </c>
      <c r="AQ9" s="14">
        <f t="shared" si="11"/>
        <v>1</v>
      </c>
      <c r="AR9" s="15"/>
      <c r="AS9" s="14">
        <v>1</v>
      </c>
      <c r="AT9" s="14">
        <f t="shared" si="12"/>
        <v>0</v>
      </c>
      <c r="AU9" s="15"/>
      <c r="AV9" s="14"/>
      <c r="AW9" s="14">
        <f t="shared" si="13"/>
        <v>0</v>
      </c>
      <c r="AX9" s="15"/>
      <c r="AY9" s="14"/>
      <c r="AZ9" s="14">
        <f t="shared" si="14"/>
        <v>0</v>
      </c>
      <c r="BA9" s="15"/>
      <c r="BB9" s="14"/>
      <c r="BC9" s="14">
        <f t="shared" si="15"/>
        <v>0</v>
      </c>
      <c r="BD9" s="15"/>
      <c r="BE9" s="14"/>
      <c r="BF9" s="14">
        <f t="shared" si="16"/>
        <v>0</v>
      </c>
      <c r="BG9" s="15"/>
      <c r="BH9" s="14"/>
      <c r="BI9" s="14">
        <f t="shared" si="17"/>
        <v>0</v>
      </c>
      <c r="BJ9" s="15"/>
      <c r="BK9" s="14"/>
      <c r="BL9" s="14">
        <f t="shared" si="18"/>
        <v>0</v>
      </c>
      <c r="BM9" s="15"/>
      <c r="BN9" s="14"/>
      <c r="BO9" s="14">
        <f t="shared" si="21"/>
        <v>0</v>
      </c>
      <c r="BP9" s="15"/>
      <c r="BQ9" s="17">
        <f t="shared" si="19"/>
        <v>6</v>
      </c>
      <c r="BR9" s="17">
        <f t="shared" si="20"/>
        <v>0</v>
      </c>
    </row>
    <row r="10" spans="1:70" ht="43.2" x14ac:dyDescent="0.3">
      <c r="A10" s="1"/>
      <c r="B10" s="38" t="s">
        <v>109</v>
      </c>
      <c r="C10" s="30" t="s">
        <v>110</v>
      </c>
      <c r="D10" s="12" t="s">
        <v>111</v>
      </c>
      <c r="E10" s="14" t="s">
        <v>55</v>
      </c>
      <c r="F10" s="14" t="s">
        <v>50</v>
      </c>
      <c r="G10" s="14" t="s">
        <v>112</v>
      </c>
      <c r="H10" s="14">
        <v>4</v>
      </c>
      <c r="I10" s="14"/>
      <c r="J10" s="14">
        <f t="shared" si="0"/>
        <v>4</v>
      </c>
      <c r="K10" s="15"/>
      <c r="L10" s="14"/>
      <c r="M10" s="14">
        <f t="shared" si="1"/>
        <v>4</v>
      </c>
      <c r="N10" s="15"/>
      <c r="O10" s="14"/>
      <c r="P10" s="14">
        <f t="shared" si="2"/>
        <v>4</v>
      </c>
      <c r="Q10" s="15"/>
      <c r="R10" s="14">
        <v>2</v>
      </c>
      <c r="S10" s="14">
        <f t="shared" si="3"/>
        <v>2</v>
      </c>
      <c r="T10" s="15"/>
      <c r="U10" s="14">
        <v>2</v>
      </c>
      <c r="V10" s="14">
        <f t="shared" si="4"/>
        <v>0</v>
      </c>
      <c r="W10" s="15"/>
      <c r="X10" s="14"/>
      <c r="Y10" s="14">
        <f t="shared" si="5"/>
        <v>0</v>
      </c>
      <c r="Z10" s="15"/>
      <c r="AA10" s="14"/>
      <c r="AB10" s="14">
        <f t="shared" si="6"/>
        <v>0</v>
      </c>
      <c r="AC10" s="15"/>
      <c r="AD10" s="14"/>
      <c r="AE10" s="14">
        <f t="shared" si="7"/>
        <v>0</v>
      </c>
      <c r="AF10" s="15"/>
      <c r="AG10" s="14"/>
      <c r="AH10" s="14">
        <f t="shared" si="8"/>
        <v>0</v>
      </c>
      <c r="AI10" s="15"/>
      <c r="AJ10" s="14"/>
      <c r="AK10" s="14">
        <f t="shared" si="9"/>
        <v>0</v>
      </c>
      <c r="AL10" s="15"/>
      <c r="AM10" s="14"/>
      <c r="AN10" s="14">
        <f t="shared" si="10"/>
        <v>0</v>
      </c>
      <c r="AO10" s="15"/>
      <c r="AP10" s="14"/>
      <c r="AQ10" s="14">
        <f t="shared" si="11"/>
        <v>0</v>
      </c>
      <c r="AR10" s="15"/>
      <c r="AS10" s="14"/>
      <c r="AT10" s="14">
        <f t="shared" si="12"/>
        <v>0</v>
      </c>
      <c r="AU10" s="15"/>
      <c r="AV10" s="14"/>
      <c r="AW10" s="14">
        <f t="shared" si="13"/>
        <v>0</v>
      </c>
      <c r="AX10" s="15"/>
      <c r="AY10" s="14"/>
      <c r="AZ10" s="14">
        <f t="shared" si="14"/>
        <v>0</v>
      </c>
      <c r="BA10" s="15"/>
      <c r="BB10" s="14"/>
      <c r="BC10" s="14">
        <f t="shared" si="15"/>
        <v>0</v>
      </c>
      <c r="BD10" s="15"/>
      <c r="BE10" s="14"/>
      <c r="BF10" s="14">
        <f t="shared" si="16"/>
        <v>0</v>
      </c>
      <c r="BG10" s="15"/>
      <c r="BH10" s="14"/>
      <c r="BI10" s="14">
        <f t="shared" si="17"/>
        <v>0</v>
      </c>
      <c r="BJ10" s="15"/>
      <c r="BK10" s="14"/>
      <c r="BL10" s="14">
        <f t="shared" si="18"/>
        <v>0</v>
      </c>
      <c r="BM10" s="15"/>
      <c r="BN10" s="14"/>
      <c r="BO10" s="14">
        <f t="shared" si="21"/>
        <v>0</v>
      </c>
      <c r="BP10" s="15"/>
      <c r="BQ10" s="17">
        <f t="shared" si="19"/>
        <v>4</v>
      </c>
      <c r="BR10" s="17">
        <f t="shared" si="20"/>
        <v>0</v>
      </c>
    </row>
    <row r="11" spans="1:70" ht="43.2" x14ac:dyDescent="0.3">
      <c r="A11" s="1"/>
      <c r="B11" s="32"/>
      <c r="C11" s="32"/>
      <c r="D11" s="12" t="s">
        <v>121</v>
      </c>
      <c r="E11" s="14" t="s">
        <v>55</v>
      </c>
      <c r="F11" s="14" t="s">
        <v>50</v>
      </c>
      <c r="G11" s="14" t="s">
        <v>122</v>
      </c>
      <c r="H11" s="14">
        <v>3</v>
      </c>
      <c r="I11" s="14"/>
      <c r="J11" s="14">
        <f t="shared" si="0"/>
        <v>3</v>
      </c>
      <c r="K11" s="15"/>
      <c r="L11" s="14"/>
      <c r="M11" s="14">
        <f t="shared" si="1"/>
        <v>3</v>
      </c>
      <c r="N11" s="15"/>
      <c r="O11" s="14"/>
      <c r="P11" s="14">
        <f t="shared" si="2"/>
        <v>3</v>
      </c>
      <c r="Q11" s="15"/>
      <c r="R11" s="14"/>
      <c r="S11" s="14">
        <f t="shared" si="3"/>
        <v>3</v>
      </c>
      <c r="T11" s="15"/>
      <c r="U11" s="14"/>
      <c r="V11" s="14">
        <f t="shared" si="4"/>
        <v>3</v>
      </c>
      <c r="W11" s="15"/>
      <c r="X11" s="14"/>
      <c r="Y11" s="14">
        <f t="shared" si="5"/>
        <v>3</v>
      </c>
      <c r="Z11" s="15"/>
      <c r="AA11" s="14">
        <v>3</v>
      </c>
      <c r="AB11" s="14">
        <f t="shared" si="6"/>
        <v>0</v>
      </c>
      <c r="AC11" s="15"/>
      <c r="AD11" s="14"/>
      <c r="AE11" s="14">
        <f t="shared" si="7"/>
        <v>0</v>
      </c>
      <c r="AF11" s="15"/>
      <c r="AG11" s="14"/>
      <c r="AH11" s="14">
        <f t="shared" si="8"/>
        <v>0</v>
      </c>
      <c r="AI11" s="15"/>
      <c r="AJ11" s="14"/>
      <c r="AK11" s="14">
        <f t="shared" si="9"/>
        <v>0</v>
      </c>
      <c r="AL11" s="15"/>
      <c r="AM11" s="14"/>
      <c r="AN11" s="14">
        <f t="shared" si="10"/>
        <v>0</v>
      </c>
      <c r="AO11" s="15"/>
      <c r="AP11" s="14"/>
      <c r="AQ11" s="14">
        <f t="shared" si="11"/>
        <v>0</v>
      </c>
      <c r="AR11" s="15"/>
      <c r="AS11" s="14"/>
      <c r="AT11" s="14">
        <f t="shared" si="12"/>
        <v>0</v>
      </c>
      <c r="AU11" s="15"/>
      <c r="AV11" s="14"/>
      <c r="AW11" s="14">
        <f t="shared" si="13"/>
        <v>0</v>
      </c>
      <c r="AX11" s="15"/>
      <c r="AY11" s="14"/>
      <c r="AZ11" s="14">
        <f t="shared" si="14"/>
        <v>0</v>
      </c>
      <c r="BA11" s="15"/>
      <c r="BB11" s="14"/>
      <c r="BC11" s="14">
        <f t="shared" si="15"/>
        <v>0</v>
      </c>
      <c r="BD11" s="15"/>
      <c r="BE11" s="14"/>
      <c r="BF11" s="14">
        <f t="shared" si="16"/>
        <v>0</v>
      </c>
      <c r="BG11" s="15"/>
      <c r="BH11" s="14"/>
      <c r="BI11" s="14">
        <f t="shared" si="17"/>
        <v>0</v>
      </c>
      <c r="BJ11" s="15"/>
      <c r="BK11" s="14"/>
      <c r="BL11" s="14">
        <f t="shared" si="18"/>
        <v>0</v>
      </c>
      <c r="BM11" s="15"/>
      <c r="BN11" s="14"/>
      <c r="BO11" s="14">
        <f t="shared" si="21"/>
        <v>0</v>
      </c>
      <c r="BP11" s="15"/>
      <c r="BQ11" s="17">
        <f t="shared" si="19"/>
        <v>3</v>
      </c>
      <c r="BR11" s="17">
        <f t="shared" si="20"/>
        <v>0</v>
      </c>
    </row>
    <row r="12" spans="1:70" ht="14.4"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row>
    <row r="13" spans="1:70" ht="14.4"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row>
    <row r="14" spans="1:70" ht="14.4"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row>
    <row r="15" spans="1:70" ht="15.7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row>
    <row r="16" spans="1:70" ht="15.75" customHeight="1"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row>
    <row r="17" spans="1:70" ht="15.75" customHeight="1"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row>
    <row r="18" spans="1:70" ht="15.7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row>
    <row r="19" spans="1:70" ht="15.7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row>
    <row r="20" spans="1:70" ht="15.7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row>
    <row r="21" spans="1:70"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row>
    <row r="22" spans="1:70"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row>
    <row r="23" spans="1:70"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row>
    <row r="24" spans="1:70"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row>
    <row r="25" spans="1:70"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row>
    <row r="26" spans="1:70"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row>
    <row r="27" spans="1:70"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row>
    <row r="28" spans="1:70"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row>
    <row r="29" spans="1:70"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row>
    <row r="30" spans="1:70"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row>
    <row r="31" spans="1:70"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row>
    <row r="32" spans="1:70"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row>
    <row r="33" spans="1:70"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row>
    <row r="34" spans="1:70"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row>
    <row r="35" spans="1:70"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row>
    <row r="36" spans="1:70"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row>
    <row r="37" spans="1:70"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row>
    <row r="38" spans="1:70"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row>
    <row r="39" spans="1:70"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row>
    <row r="40" spans="1:70"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row>
    <row r="41" spans="1:70"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row>
    <row r="42" spans="1:70"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row>
    <row r="43" spans="1:70"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row>
    <row r="44" spans="1:70"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row>
    <row r="45" spans="1:70"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row>
    <row r="46" spans="1:70"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row>
    <row r="47" spans="1:70"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row>
    <row r="48" spans="1:70"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row>
    <row r="49" spans="1:70"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row>
    <row r="50" spans="1:70"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row>
    <row r="51" spans="1:70"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row>
    <row r="52" spans="1:70"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row>
    <row r="53" spans="1:70"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row>
    <row r="54" spans="1:70"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row>
    <row r="55" spans="1:70"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row>
    <row r="56" spans="1:70"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row>
    <row r="57" spans="1:70"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row>
    <row r="58" spans="1:70"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row>
    <row r="59" spans="1:70"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row>
    <row r="60" spans="1:70"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row>
    <row r="61" spans="1:70"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row>
    <row r="62" spans="1:70"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row>
    <row r="63" spans="1:70"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row>
    <row r="64" spans="1:70"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row>
    <row r="65" spans="1:70"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row>
    <row r="66" spans="1:70"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row>
    <row r="67" spans="1:70"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row>
    <row r="68" spans="1:70"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row>
    <row r="69" spans="1:70"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row>
    <row r="70" spans="1:70"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row>
    <row r="71" spans="1:70"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row>
    <row r="72" spans="1:70"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row>
    <row r="73" spans="1:70"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row>
    <row r="74" spans="1:70"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row>
    <row r="75" spans="1:70"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row>
    <row r="76" spans="1:70"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row>
    <row r="77" spans="1:70"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row>
    <row r="78" spans="1:70"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row>
    <row r="79" spans="1:70"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row>
    <row r="80" spans="1:70"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row>
    <row r="81" spans="1:70"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row>
    <row r="82" spans="1:70"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row>
    <row r="83" spans="1:70"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row>
    <row r="84" spans="1:70"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row>
    <row r="85" spans="1:70"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row>
    <row r="86" spans="1:70"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row>
    <row r="87" spans="1:70"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row>
    <row r="88" spans="1:70"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row>
    <row r="89" spans="1:70"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row>
    <row r="90" spans="1:70"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row>
    <row r="91" spans="1:70"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row>
    <row r="92" spans="1:70"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row>
    <row r="93" spans="1:70"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row>
    <row r="94" spans="1:70"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row>
    <row r="95" spans="1:70"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row>
    <row r="96" spans="1:70"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row>
    <row r="97" spans="1:70"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row>
    <row r="98" spans="1:70"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row>
    <row r="99" spans="1:70"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row>
    <row r="100" spans="1:70"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row>
    <row r="101" spans="1:70"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row>
    <row r="102" spans="1:70"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row>
    <row r="103" spans="1:70"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row>
    <row r="104" spans="1:70"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row>
    <row r="105" spans="1:70"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row>
    <row r="106" spans="1:70"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row>
    <row r="107" spans="1:70"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row>
    <row r="108" spans="1:70"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row>
    <row r="109" spans="1:70"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row>
    <row r="110" spans="1:70"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row>
    <row r="111" spans="1:70"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row>
    <row r="112" spans="1:70"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row>
    <row r="113" spans="1:70"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row>
    <row r="114" spans="1:70"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row>
    <row r="115" spans="1:70"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row>
    <row r="116" spans="1:70"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row>
    <row r="117" spans="1:70"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row>
    <row r="118" spans="1:70"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row>
    <row r="119" spans="1:70"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row>
    <row r="120" spans="1:70"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row>
    <row r="121" spans="1:70"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row>
    <row r="122" spans="1:70"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row>
    <row r="123" spans="1:70"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row>
    <row r="124" spans="1:70"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row>
    <row r="125" spans="1:70"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row>
    <row r="126" spans="1:70"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row>
    <row r="127" spans="1:70"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row>
    <row r="128" spans="1:70"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row>
    <row r="129" spans="1:70"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row>
    <row r="130" spans="1:70"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row>
    <row r="131" spans="1:70"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row>
    <row r="132" spans="1:70"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row>
    <row r="133" spans="1:70"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row>
    <row r="134" spans="1:70"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row>
    <row r="135" spans="1:70"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row>
    <row r="136" spans="1:70"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row>
    <row r="137" spans="1:70"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row>
    <row r="138" spans="1:70"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row>
    <row r="139" spans="1:70"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row>
    <row r="140" spans="1:70"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row>
    <row r="141" spans="1:70"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row>
    <row r="142" spans="1:70"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row>
    <row r="143" spans="1:70"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row>
    <row r="144" spans="1:70"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row>
    <row r="145" spans="1:70"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row>
    <row r="146" spans="1:70"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row>
    <row r="147" spans="1:70"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row>
    <row r="148" spans="1:70"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row>
    <row r="149" spans="1:70"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row>
    <row r="150" spans="1:70"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row>
    <row r="151" spans="1:70"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row>
    <row r="152" spans="1:70"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row>
    <row r="153" spans="1:70"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row>
    <row r="154" spans="1:70"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row>
    <row r="155" spans="1:70"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row>
    <row r="156" spans="1:70"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row>
    <row r="157" spans="1:70"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row>
    <row r="158" spans="1:70"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row>
    <row r="159" spans="1:70"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row>
    <row r="160" spans="1:70"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row>
    <row r="161" spans="1:70"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row>
    <row r="162" spans="1:70"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row>
    <row r="163" spans="1:70"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row>
    <row r="164" spans="1:70"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row>
    <row r="165" spans="1:70"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row>
    <row r="166" spans="1:70"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row>
    <row r="167" spans="1:70"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row>
    <row r="168" spans="1:70"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row>
    <row r="169" spans="1:70"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row>
    <row r="170" spans="1:70"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row>
    <row r="171" spans="1:70"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row>
    <row r="172" spans="1:70"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row>
    <row r="173" spans="1:70"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row>
    <row r="174" spans="1:70"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row>
    <row r="175" spans="1:70"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row>
    <row r="176" spans="1:70"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row>
    <row r="177" spans="1:70"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row>
    <row r="178" spans="1:70"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row>
    <row r="179" spans="1:70"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row>
    <row r="180" spans="1:70"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row>
    <row r="181" spans="1:70"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row>
    <row r="182" spans="1:70"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row>
    <row r="183" spans="1:70"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row>
    <row r="184" spans="1:70"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row>
    <row r="185" spans="1:70"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row>
    <row r="186" spans="1:70"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row>
    <row r="187" spans="1:70"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row>
    <row r="188" spans="1:70"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row>
    <row r="189" spans="1:70"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row>
    <row r="190" spans="1:70"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row>
    <row r="191" spans="1:70"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row>
    <row r="192" spans="1:70"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row>
    <row r="193" spans="1:70"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row>
    <row r="194" spans="1:70"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row>
    <row r="195" spans="1:70"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row>
    <row r="196" spans="1:70"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row>
    <row r="197" spans="1:70"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row>
    <row r="198" spans="1:70"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row>
    <row r="199" spans="1:70"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row>
    <row r="200" spans="1:70"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row>
    <row r="201" spans="1:70"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row>
    <row r="202" spans="1:70"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row>
    <row r="203" spans="1:70"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row>
    <row r="204" spans="1:70"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row>
    <row r="205" spans="1:70"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row>
    <row r="206" spans="1:70"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row>
    <row r="207" spans="1:70"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row>
    <row r="208" spans="1:70"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row>
    <row r="209" spans="1:70"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row>
    <row r="210" spans="1:70"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row>
    <row r="211" spans="1:70"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row>
    <row r="212" spans="1:70"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row>
    <row r="213" spans="1:70"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row>
    <row r="214" spans="1:70"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row>
    <row r="215" spans="1:70"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row>
    <row r="216" spans="1:70"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row>
    <row r="217" spans="1:70"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row>
    <row r="218" spans="1:70"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row>
    <row r="219" spans="1:70"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row>
    <row r="220" spans="1:70"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row>
    <row r="221" spans="1:70" ht="15.75" customHeight="1" x14ac:dyDescent="0.25"/>
    <row r="222" spans="1:70" ht="15.75" customHeight="1" x14ac:dyDescent="0.25"/>
    <row r="223" spans="1:70" ht="15.75" customHeight="1" x14ac:dyDescent="0.25"/>
    <row r="224" spans="1:70"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5">
    <mergeCell ref="BN4:BO4"/>
    <mergeCell ref="BQ4:BR4"/>
    <mergeCell ref="AD4:AE4"/>
    <mergeCell ref="AG4:AH4"/>
    <mergeCell ref="AJ4:AK4"/>
    <mergeCell ref="AM4:AN4"/>
    <mergeCell ref="AP4:AQ4"/>
    <mergeCell ref="AS4:AT4"/>
    <mergeCell ref="AV4:AW4"/>
    <mergeCell ref="AY4:AZ4"/>
    <mergeCell ref="BB4:BC4"/>
    <mergeCell ref="BE4:BF4"/>
    <mergeCell ref="BH4:BI4"/>
    <mergeCell ref="BK4:BL4"/>
    <mergeCell ref="B6:B9"/>
    <mergeCell ref="C6:C9"/>
    <mergeCell ref="B10:B11"/>
    <mergeCell ref="C10:C11"/>
    <mergeCell ref="I4:J4"/>
    <mergeCell ref="AA4:AB4"/>
    <mergeCell ref="L4:M4"/>
    <mergeCell ref="O4:P4"/>
    <mergeCell ref="R4:S4"/>
    <mergeCell ref="U4:V4"/>
    <mergeCell ref="X4:Y4"/>
  </mergeCells>
  <dataValidations count="2">
    <dataValidation type="list" allowBlank="1" showErrorMessage="1" sqref="F6:F11" xr:uid="{00000000-0002-0000-0000-000000000000}">
      <formula1>"Nuevo,En progreso,Listo para probar,Cerrado,Se necesito info"</formula1>
    </dataValidation>
    <dataValidation type="list" allowBlank="1" showErrorMessage="1" sqref="E6:E11" xr:uid="{00000000-0002-0000-0000-000001000000}">
      <formula1>"Antonia Lizana,Marcelo Valladares"</formula1>
    </dataValidation>
  </dataValidations>
  <pageMargins left="0.62992125984251968" right="0.62992125984251968" top="0.74803149606299213" bottom="0.74803149606299213" header="0" footer="0"/>
  <pageSetup paperSize="9" orientation="landscape"/>
  <colBreaks count="4" manualBreakCount="4">
    <brk id="53" man="1"/>
    <brk id="37" man="1"/>
    <brk id="70" man="1"/>
    <brk id="22"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EA225"/>
  <sheetViews>
    <sheetView tabSelected="1" workbookViewId="0">
      <pane xSplit="3" ySplit="5" topLeftCell="D10" activePane="bottomRight" state="frozen"/>
      <selection pane="topRight" activeCell="D1" sqref="D1"/>
      <selection pane="bottomLeft" activeCell="A6" sqref="A6"/>
      <selection pane="bottomRight" activeCell="D15" sqref="D15"/>
    </sheetView>
  </sheetViews>
  <sheetFormatPr baseColWidth="10" defaultColWidth="12.59765625" defaultRowHeight="15" customHeight="1" x14ac:dyDescent="0.25"/>
  <cols>
    <col min="1" max="1" width="0.3984375" customWidth="1"/>
    <col min="2" max="2" width="10.69921875" customWidth="1"/>
    <col min="3" max="3" width="37.69921875" customWidth="1"/>
    <col min="4" max="4" width="34.09765625" customWidth="1"/>
    <col min="5" max="5" width="21.19921875" customWidth="1"/>
    <col min="6" max="6" width="14.3984375" customWidth="1"/>
    <col min="7" max="8" width="13.5" customWidth="1"/>
    <col min="9" max="9" width="5.09765625" customWidth="1"/>
    <col min="10" max="10" width="4.69921875" customWidth="1"/>
    <col min="11" max="11" width="2.3984375" customWidth="1"/>
    <col min="12" max="12" width="5.09765625" customWidth="1"/>
    <col min="13" max="13" width="4.69921875" customWidth="1"/>
    <col min="14" max="14" width="2.3984375" customWidth="1"/>
    <col min="15" max="15" width="5.09765625" customWidth="1"/>
    <col min="16" max="16" width="4.69921875" customWidth="1"/>
    <col min="17" max="17" width="2.3984375" customWidth="1"/>
    <col min="18" max="18" width="5.09765625" customWidth="1"/>
    <col min="19" max="19" width="4.69921875" customWidth="1"/>
    <col min="20" max="20" width="2.3984375" customWidth="1"/>
    <col min="21" max="21" width="5.09765625" customWidth="1"/>
    <col min="22" max="22" width="4.69921875" customWidth="1"/>
    <col min="23" max="23" width="2.3984375" customWidth="1"/>
    <col min="24" max="24" width="5.09765625" customWidth="1"/>
    <col min="25" max="25" width="4.69921875" customWidth="1"/>
    <col min="26" max="26" width="2.3984375" customWidth="1"/>
    <col min="27" max="27" width="5.09765625" customWidth="1"/>
    <col min="28" max="28" width="4.69921875" customWidth="1"/>
    <col min="29" max="29" width="2.3984375" customWidth="1"/>
    <col min="30" max="30" width="5.09765625" customWidth="1"/>
    <col min="31" max="31" width="4.69921875" customWidth="1"/>
    <col min="32" max="32" width="2.3984375" customWidth="1"/>
    <col min="33" max="33" width="5.09765625" customWidth="1"/>
    <col min="34" max="34" width="4.69921875" customWidth="1"/>
    <col min="35" max="35" width="2.3984375" customWidth="1"/>
    <col min="36" max="36" width="5.09765625" customWidth="1"/>
    <col min="37" max="37" width="4.69921875" customWidth="1"/>
    <col min="38" max="38" width="2.3984375" customWidth="1"/>
    <col min="39" max="39" width="5.09765625" customWidth="1"/>
    <col min="40" max="40" width="4.69921875" customWidth="1"/>
    <col min="41" max="41" width="2.3984375" customWidth="1"/>
    <col min="42" max="42" width="5.09765625" customWidth="1"/>
    <col min="43" max="43" width="4.69921875" customWidth="1"/>
    <col min="44" max="44" width="2.3984375" customWidth="1"/>
    <col min="45" max="45" width="5.09765625" customWidth="1"/>
    <col min="46" max="46" width="4.69921875" customWidth="1"/>
    <col min="47" max="47" width="2.3984375" customWidth="1"/>
    <col min="48" max="48" width="5.09765625" customWidth="1"/>
    <col min="49" max="49" width="4.69921875" customWidth="1"/>
    <col min="50" max="50" width="2.3984375" customWidth="1"/>
    <col min="51" max="51" width="5.09765625" customWidth="1"/>
    <col min="52" max="52" width="4.69921875" customWidth="1"/>
    <col min="53" max="53" width="2.3984375" customWidth="1"/>
    <col min="54" max="54" width="5.09765625" customWidth="1"/>
    <col min="55" max="55" width="4.69921875" customWidth="1"/>
    <col min="56" max="56" width="2.3984375" customWidth="1"/>
    <col min="57" max="57" width="5.09765625" customWidth="1"/>
    <col min="58" max="58" width="4.69921875" customWidth="1"/>
    <col min="59" max="59" width="2.3984375" customWidth="1"/>
    <col min="60" max="60" width="5.09765625" customWidth="1"/>
    <col min="61" max="61" width="4.69921875" customWidth="1"/>
    <col min="62" max="62" width="2.3984375" customWidth="1"/>
    <col min="63" max="63" width="5.09765625" customWidth="1"/>
    <col min="64" max="64" width="4.69921875" customWidth="1"/>
    <col min="65" max="65" width="2.3984375" customWidth="1"/>
    <col min="66" max="66" width="5.09765625" customWidth="1"/>
    <col min="67" max="67" width="4.69921875" customWidth="1"/>
    <col min="68" max="68" width="2.3984375" customWidth="1"/>
    <col min="69" max="69" width="5.5" customWidth="1"/>
    <col min="70" max="70" width="5.09765625" customWidth="1"/>
    <col min="71" max="71" width="2.09765625" customWidth="1"/>
    <col min="72" max="72" width="6.09765625" customWidth="1"/>
    <col min="73" max="73" width="4.69921875" customWidth="1"/>
    <col min="74" max="74" width="2.09765625" customWidth="1"/>
    <col min="75" max="75" width="5.69921875" customWidth="1"/>
    <col min="76" max="76" width="4.69921875" customWidth="1"/>
    <col min="77" max="77" width="2" customWidth="1"/>
    <col min="78" max="78" width="5.69921875" customWidth="1"/>
    <col min="79" max="79" width="4.69921875" customWidth="1"/>
    <col min="80" max="80" width="2.09765625" customWidth="1"/>
    <col min="81" max="81" width="6" customWidth="1"/>
    <col min="82" max="82" width="4.69921875" customWidth="1"/>
    <col min="83" max="83" width="1.8984375" customWidth="1"/>
    <col min="84" max="84" width="6" customWidth="1"/>
    <col min="85" max="85" width="4.69921875" customWidth="1"/>
    <col min="86" max="86" width="2.3984375" customWidth="1"/>
    <col min="87" max="87" width="5.09765625" customWidth="1"/>
    <col min="88" max="88" width="4.69921875" customWidth="1"/>
    <col min="89" max="89" width="1.8984375" customWidth="1"/>
    <col min="90" max="90" width="5.3984375" customWidth="1"/>
    <col min="91" max="91" width="4.69921875" customWidth="1"/>
    <col min="92" max="92" width="1.8984375" customWidth="1"/>
    <col min="93" max="93" width="5.59765625" customWidth="1"/>
    <col min="94" max="127" width="4.69921875" customWidth="1"/>
    <col min="128" max="128" width="5.5" customWidth="1"/>
    <col min="129" max="131" width="4.69921875" customWidth="1"/>
  </cols>
  <sheetData>
    <row r="1" spans="1:131" ht="28.8" x14ac:dyDescent="0.55000000000000004">
      <c r="A1" s="1"/>
      <c r="B1" s="3"/>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row>
    <row r="2" spans="1:131" ht="28.8" x14ac:dyDescent="0.55000000000000004">
      <c r="A2" s="1"/>
      <c r="B2" s="33" t="s">
        <v>5</v>
      </c>
      <c r="C2" s="34"/>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row>
    <row r="3" spans="1:131" ht="21" x14ac:dyDescent="0.4">
      <c r="A3" s="1"/>
      <c r="B3" s="35" t="s">
        <v>3</v>
      </c>
      <c r="C3" s="34"/>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row>
    <row r="4" spans="1:131" ht="14.4" x14ac:dyDescent="0.3">
      <c r="A4" s="1"/>
      <c r="B4" s="1"/>
      <c r="C4" s="1"/>
      <c r="D4" s="1"/>
      <c r="E4" s="1"/>
      <c r="F4" s="1"/>
      <c r="G4" s="1"/>
      <c r="H4" s="13" t="s">
        <v>42</v>
      </c>
      <c r="I4" s="36" t="s">
        <v>4</v>
      </c>
      <c r="J4" s="29"/>
      <c r="K4" s="7"/>
      <c r="L4" s="28" t="s">
        <v>6</v>
      </c>
      <c r="M4" s="29"/>
      <c r="N4" s="7"/>
      <c r="O4" s="28" t="s">
        <v>7</v>
      </c>
      <c r="P4" s="29"/>
      <c r="Q4" s="7"/>
      <c r="R4" s="28" t="s">
        <v>8</v>
      </c>
      <c r="S4" s="29"/>
      <c r="T4" s="7"/>
      <c r="U4" s="28" t="s">
        <v>9</v>
      </c>
      <c r="V4" s="29"/>
      <c r="W4" s="7"/>
      <c r="X4" s="28" t="s">
        <v>10</v>
      </c>
      <c r="Y4" s="29"/>
      <c r="Z4" s="7"/>
      <c r="AA4" s="28" t="s">
        <v>12</v>
      </c>
      <c r="AB4" s="29"/>
      <c r="AC4" s="7"/>
      <c r="AD4" s="28" t="s">
        <v>13</v>
      </c>
      <c r="AE4" s="29"/>
      <c r="AF4" s="7"/>
      <c r="AG4" s="28" t="s">
        <v>14</v>
      </c>
      <c r="AH4" s="29"/>
      <c r="AI4" s="7"/>
      <c r="AJ4" s="28" t="s">
        <v>15</v>
      </c>
      <c r="AK4" s="29"/>
      <c r="AL4" s="7"/>
      <c r="AM4" s="28" t="s">
        <v>16</v>
      </c>
      <c r="AN4" s="29"/>
      <c r="AO4" s="7"/>
      <c r="AP4" s="28" t="s">
        <v>17</v>
      </c>
      <c r="AQ4" s="29"/>
      <c r="AR4" s="7"/>
      <c r="AS4" s="28" t="s">
        <v>19</v>
      </c>
      <c r="AT4" s="29"/>
      <c r="AU4" s="7"/>
      <c r="AV4" s="28" t="s">
        <v>20</v>
      </c>
      <c r="AW4" s="29"/>
      <c r="AX4" s="7"/>
      <c r="AY4" s="28" t="s">
        <v>21</v>
      </c>
      <c r="AZ4" s="29"/>
      <c r="BA4" s="7"/>
      <c r="BB4" s="28" t="s">
        <v>22</v>
      </c>
      <c r="BC4" s="29"/>
      <c r="BD4" s="7"/>
      <c r="BE4" s="28" t="s">
        <v>23</v>
      </c>
      <c r="BF4" s="29"/>
      <c r="BG4" s="7"/>
      <c r="BH4" s="28" t="s">
        <v>24</v>
      </c>
      <c r="BI4" s="29"/>
      <c r="BJ4" s="7"/>
      <c r="BK4" s="28" t="s">
        <v>25</v>
      </c>
      <c r="BL4" s="29"/>
      <c r="BM4" s="7"/>
      <c r="BN4" s="28" t="s">
        <v>26</v>
      </c>
      <c r="BO4" s="29"/>
      <c r="BP4" s="7"/>
      <c r="BQ4" s="37" t="s">
        <v>27</v>
      </c>
      <c r="BR4" s="29"/>
      <c r="BS4" s="7"/>
      <c r="BT4" s="37" t="s">
        <v>28</v>
      </c>
      <c r="BU4" s="29"/>
      <c r="BV4" s="7"/>
      <c r="BW4" s="37" t="s">
        <v>56</v>
      </c>
      <c r="BX4" s="29"/>
      <c r="BY4" s="7"/>
      <c r="BZ4" s="37" t="s">
        <v>58</v>
      </c>
      <c r="CA4" s="29"/>
      <c r="CB4" s="7"/>
      <c r="CC4" s="37" t="s">
        <v>59</v>
      </c>
      <c r="CD4" s="29"/>
      <c r="CE4" s="7"/>
      <c r="CF4" s="37" t="s">
        <v>60</v>
      </c>
      <c r="CG4" s="29"/>
      <c r="CH4" s="7"/>
      <c r="CI4" s="37" t="s">
        <v>61</v>
      </c>
      <c r="CJ4" s="29"/>
      <c r="CK4" s="7"/>
      <c r="CL4" s="37" t="s">
        <v>62</v>
      </c>
      <c r="CM4" s="29"/>
      <c r="CN4" s="7"/>
      <c r="CO4" s="37" t="s">
        <v>63</v>
      </c>
      <c r="CP4" s="29"/>
      <c r="CQ4" s="16"/>
      <c r="CR4" s="37" t="s">
        <v>64</v>
      </c>
      <c r="CS4" s="29"/>
      <c r="CT4" s="16"/>
      <c r="CU4" s="37" t="s">
        <v>65</v>
      </c>
      <c r="CV4" s="29"/>
      <c r="CW4" s="16"/>
      <c r="CX4" s="37" t="s">
        <v>66</v>
      </c>
      <c r="CY4" s="29"/>
      <c r="CZ4" s="16"/>
      <c r="DA4" s="37" t="s">
        <v>67</v>
      </c>
      <c r="DB4" s="29"/>
      <c r="DC4" s="16"/>
      <c r="DD4" s="37" t="s">
        <v>68</v>
      </c>
      <c r="DE4" s="29"/>
      <c r="DF4" s="16"/>
      <c r="DG4" s="37" t="s">
        <v>69</v>
      </c>
      <c r="DH4" s="29"/>
      <c r="DI4" s="16"/>
      <c r="DJ4" s="37" t="s">
        <v>70</v>
      </c>
      <c r="DK4" s="29"/>
      <c r="DL4" s="16"/>
      <c r="DM4" s="37" t="s">
        <v>71</v>
      </c>
      <c r="DN4" s="29"/>
      <c r="DO4" s="16"/>
      <c r="DP4" s="37" t="s">
        <v>72</v>
      </c>
      <c r="DQ4" s="29"/>
      <c r="DR4" s="16"/>
      <c r="DS4" s="37" t="s">
        <v>73</v>
      </c>
      <c r="DT4" s="29"/>
      <c r="DU4" s="16"/>
      <c r="DV4" s="37" t="s">
        <v>74</v>
      </c>
      <c r="DW4" s="29"/>
      <c r="DX4" s="28" t="s">
        <v>29</v>
      </c>
      <c r="DY4" s="29"/>
      <c r="DZ4" s="1"/>
      <c r="EA4" s="1"/>
    </row>
    <row r="5" spans="1:131" ht="57.6" x14ac:dyDescent="0.3">
      <c r="A5" s="1"/>
      <c r="B5" s="9" t="s">
        <v>30</v>
      </c>
      <c r="C5" s="9" t="s">
        <v>31</v>
      </c>
      <c r="D5" s="9" t="s">
        <v>32</v>
      </c>
      <c r="E5" s="9" t="s">
        <v>33</v>
      </c>
      <c r="F5" s="9" t="s">
        <v>34</v>
      </c>
      <c r="G5" s="10" t="s">
        <v>35</v>
      </c>
      <c r="H5" s="11" t="s">
        <v>36</v>
      </c>
      <c r="I5" s="11" t="s">
        <v>37</v>
      </c>
      <c r="J5" s="11" t="s">
        <v>38</v>
      </c>
      <c r="K5" s="11"/>
      <c r="L5" s="11" t="s">
        <v>37</v>
      </c>
      <c r="M5" s="11" t="s">
        <v>38</v>
      </c>
      <c r="N5" s="11"/>
      <c r="O5" s="11" t="s">
        <v>37</v>
      </c>
      <c r="P5" s="11" t="s">
        <v>38</v>
      </c>
      <c r="Q5" s="11"/>
      <c r="R5" s="11" t="s">
        <v>37</v>
      </c>
      <c r="S5" s="11" t="s">
        <v>38</v>
      </c>
      <c r="T5" s="11"/>
      <c r="U5" s="11" t="s">
        <v>37</v>
      </c>
      <c r="V5" s="11" t="s">
        <v>38</v>
      </c>
      <c r="W5" s="11"/>
      <c r="X5" s="11" t="s">
        <v>37</v>
      </c>
      <c r="Y5" s="11" t="s">
        <v>38</v>
      </c>
      <c r="Z5" s="11"/>
      <c r="AA5" s="11" t="s">
        <v>37</v>
      </c>
      <c r="AB5" s="11" t="s">
        <v>38</v>
      </c>
      <c r="AC5" s="11"/>
      <c r="AD5" s="11" t="s">
        <v>37</v>
      </c>
      <c r="AE5" s="11" t="s">
        <v>38</v>
      </c>
      <c r="AF5" s="11"/>
      <c r="AG5" s="11" t="s">
        <v>37</v>
      </c>
      <c r="AH5" s="11" t="s">
        <v>38</v>
      </c>
      <c r="AI5" s="11"/>
      <c r="AJ5" s="11" t="s">
        <v>37</v>
      </c>
      <c r="AK5" s="11" t="s">
        <v>38</v>
      </c>
      <c r="AL5" s="11"/>
      <c r="AM5" s="11" t="s">
        <v>37</v>
      </c>
      <c r="AN5" s="11" t="s">
        <v>38</v>
      </c>
      <c r="AO5" s="11"/>
      <c r="AP5" s="11" t="s">
        <v>37</v>
      </c>
      <c r="AQ5" s="11" t="s">
        <v>38</v>
      </c>
      <c r="AR5" s="11"/>
      <c r="AS5" s="11" t="s">
        <v>37</v>
      </c>
      <c r="AT5" s="11" t="s">
        <v>38</v>
      </c>
      <c r="AU5" s="11"/>
      <c r="AV5" s="11" t="s">
        <v>37</v>
      </c>
      <c r="AW5" s="11" t="s">
        <v>38</v>
      </c>
      <c r="AX5" s="11"/>
      <c r="AY5" s="11" t="s">
        <v>37</v>
      </c>
      <c r="AZ5" s="11" t="s">
        <v>38</v>
      </c>
      <c r="BA5" s="11"/>
      <c r="BB5" s="11" t="s">
        <v>37</v>
      </c>
      <c r="BC5" s="11" t="s">
        <v>38</v>
      </c>
      <c r="BD5" s="11"/>
      <c r="BE5" s="11" t="s">
        <v>37</v>
      </c>
      <c r="BF5" s="11" t="s">
        <v>38</v>
      </c>
      <c r="BG5" s="11"/>
      <c r="BH5" s="11" t="s">
        <v>37</v>
      </c>
      <c r="BI5" s="11" t="s">
        <v>38</v>
      </c>
      <c r="BJ5" s="11"/>
      <c r="BK5" s="11" t="s">
        <v>37</v>
      </c>
      <c r="BL5" s="11" t="s">
        <v>38</v>
      </c>
      <c r="BM5" s="11"/>
      <c r="BN5" s="11" t="s">
        <v>37</v>
      </c>
      <c r="BO5" s="11" t="s">
        <v>38</v>
      </c>
      <c r="BP5" s="11"/>
      <c r="BQ5" s="11" t="s">
        <v>37</v>
      </c>
      <c r="BR5" s="11" t="s">
        <v>38</v>
      </c>
      <c r="BS5" s="11"/>
      <c r="BT5" s="11" t="s">
        <v>37</v>
      </c>
      <c r="BU5" s="11" t="s">
        <v>38</v>
      </c>
      <c r="BV5" s="11"/>
      <c r="BW5" s="11" t="s">
        <v>37</v>
      </c>
      <c r="BX5" s="11" t="s">
        <v>38</v>
      </c>
      <c r="BY5" s="11"/>
      <c r="BZ5" s="11" t="s">
        <v>37</v>
      </c>
      <c r="CA5" s="11" t="s">
        <v>38</v>
      </c>
      <c r="CB5" s="11"/>
      <c r="CC5" s="11" t="s">
        <v>37</v>
      </c>
      <c r="CD5" s="11" t="s">
        <v>38</v>
      </c>
      <c r="CE5" s="11"/>
      <c r="CF5" s="11" t="s">
        <v>37</v>
      </c>
      <c r="CG5" s="11" t="s">
        <v>38</v>
      </c>
      <c r="CH5" s="11"/>
      <c r="CI5" s="11" t="s">
        <v>37</v>
      </c>
      <c r="CJ5" s="11" t="s">
        <v>38</v>
      </c>
      <c r="CK5" s="11"/>
      <c r="CL5" s="11" t="s">
        <v>37</v>
      </c>
      <c r="CM5" s="11" t="s">
        <v>38</v>
      </c>
      <c r="CN5" s="11"/>
      <c r="CO5" s="11" t="s">
        <v>37</v>
      </c>
      <c r="CP5" s="11" t="s">
        <v>38</v>
      </c>
      <c r="CQ5" s="11"/>
      <c r="CR5" s="11" t="s">
        <v>37</v>
      </c>
      <c r="CS5" s="11" t="s">
        <v>38</v>
      </c>
      <c r="CT5" s="11"/>
      <c r="CU5" s="11" t="s">
        <v>37</v>
      </c>
      <c r="CV5" s="11" t="s">
        <v>38</v>
      </c>
      <c r="CW5" s="11"/>
      <c r="CX5" s="11" t="s">
        <v>37</v>
      </c>
      <c r="CY5" s="11" t="s">
        <v>38</v>
      </c>
      <c r="CZ5" s="11"/>
      <c r="DA5" s="11" t="s">
        <v>37</v>
      </c>
      <c r="DB5" s="11" t="s">
        <v>38</v>
      </c>
      <c r="DC5" s="11"/>
      <c r="DD5" s="11" t="s">
        <v>37</v>
      </c>
      <c r="DE5" s="11" t="s">
        <v>38</v>
      </c>
      <c r="DF5" s="11"/>
      <c r="DG5" s="11" t="s">
        <v>37</v>
      </c>
      <c r="DH5" s="11" t="s">
        <v>38</v>
      </c>
      <c r="DI5" s="11"/>
      <c r="DJ5" s="11" t="s">
        <v>37</v>
      </c>
      <c r="DK5" s="11" t="s">
        <v>38</v>
      </c>
      <c r="DL5" s="11"/>
      <c r="DM5" s="11" t="s">
        <v>37</v>
      </c>
      <c r="DN5" s="11" t="s">
        <v>38</v>
      </c>
      <c r="DO5" s="11"/>
      <c r="DP5" s="11" t="s">
        <v>37</v>
      </c>
      <c r="DQ5" s="11" t="s">
        <v>38</v>
      </c>
      <c r="DR5" s="11"/>
      <c r="DS5" s="11" t="s">
        <v>37</v>
      </c>
      <c r="DT5" s="11" t="s">
        <v>38</v>
      </c>
      <c r="DU5" s="11"/>
      <c r="DV5" s="11" t="s">
        <v>37</v>
      </c>
      <c r="DW5" s="11" t="s">
        <v>38</v>
      </c>
      <c r="DX5" s="11" t="s">
        <v>37</v>
      </c>
      <c r="DY5" s="11" t="s">
        <v>38</v>
      </c>
      <c r="DZ5" s="1"/>
      <c r="EA5" s="1"/>
    </row>
    <row r="6" spans="1:131" ht="42" customHeight="1" x14ac:dyDescent="0.3">
      <c r="A6" s="1"/>
      <c r="B6" s="38" t="s">
        <v>75</v>
      </c>
      <c r="C6" s="30" t="s">
        <v>76</v>
      </c>
      <c r="D6" s="12" t="s">
        <v>78</v>
      </c>
      <c r="E6" s="14" t="s">
        <v>49</v>
      </c>
      <c r="F6" s="14" t="s">
        <v>50</v>
      </c>
      <c r="G6" s="14" t="s">
        <v>80</v>
      </c>
      <c r="H6" s="14">
        <v>4</v>
      </c>
      <c r="I6" s="14"/>
      <c r="J6" s="14">
        <f t="shared" ref="J6:J33" si="0">H6-I6</f>
        <v>4</v>
      </c>
      <c r="K6" s="15"/>
      <c r="L6" s="14">
        <v>1</v>
      </c>
      <c r="M6" s="14">
        <f t="shared" ref="M6:M33" si="1">J6-L6</f>
        <v>3</v>
      </c>
      <c r="N6" s="15"/>
      <c r="O6" s="14"/>
      <c r="P6" s="14">
        <f t="shared" ref="P6:P33" si="2">M6-O6</f>
        <v>3</v>
      </c>
      <c r="Q6" s="15"/>
      <c r="R6" s="14">
        <v>2</v>
      </c>
      <c r="S6" s="14">
        <f t="shared" ref="S6:S33" si="3">P6-R6</f>
        <v>1</v>
      </c>
      <c r="T6" s="15"/>
      <c r="U6" s="14">
        <v>1</v>
      </c>
      <c r="V6" s="14">
        <f t="shared" ref="V6:V33" si="4">S6-U6</f>
        <v>0</v>
      </c>
      <c r="W6" s="15"/>
      <c r="X6" s="14"/>
      <c r="Y6" s="14">
        <f t="shared" ref="Y6:Y33" si="5">V6-X6</f>
        <v>0</v>
      </c>
      <c r="Z6" s="15"/>
      <c r="AA6" s="14"/>
      <c r="AB6" s="14">
        <f t="shared" ref="AB6:AB33" si="6">Y6-AA6</f>
        <v>0</v>
      </c>
      <c r="AC6" s="15"/>
      <c r="AD6" s="14"/>
      <c r="AE6" s="14">
        <f t="shared" ref="AE6:AE33" si="7">AB6-AD6</f>
        <v>0</v>
      </c>
      <c r="AF6" s="15"/>
      <c r="AG6" s="14"/>
      <c r="AH6" s="14">
        <f t="shared" ref="AH6:AH33" si="8">AE6-AG6</f>
        <v>0</v>
      </c>
      <c r="AI6" s="15"/>
      <c r="AJ6" s="14"/>
      <c r="AK6" s="14">
        <f t="shared" ref="AK6:AK33" si="9">AH6-AJ6</f>
        <v>0</v>
      </c>
      <c r="AL6" s="15"/>
      <c r="AM6" s="14"/>
      <c r="AN6" s="14">
        <f t="shared" ref="AN6:AN33" si="10">AK6-AM6</f>
        <v>0</v>
      </c>
      <c r="AO6" s="15"/>
      <c r="AP6" s="14"/>
      <c r="AQ6" s="14">
        <f t="shared" ref="AQ6:AQ33" si="11">AN6-AP6</f>
        <v>0</v>
      </c>
      <c r="AR6" s="15"/>
      <c r="AS6" s="14"/>
      <c r="AT6" s="14">
        <f t="shared" ref="AT6:AT33" si="12">AQ6-AS6</f>
        <v>0</v>
      </c>
      <c r="AU6" s="15"/>
      <c r="AV6" s="14"/>
      <c r="AW6" s="14">
        <f t="shared" ref="AW6:AW33" si="13">AT6-AV6</f>
        <v>0</v>
      </c>
      <c r="AX6" s="15"/>
      <c r="AY6" s="14"/>
      <c r="AZ6" s="14">
        <f t="shared" ref="AZ6:AZ33" si="14">AW6-AY6</f>
        <v>0</v>
      </c>
      <c r="BA6" s="15"/>
      <c r="BB6" s="14"/>
      <c r="BC6" s="14">
        <f t="shared" ref="BC6:BC33" si="15">AZ6-BB6</f>
        <v>0</v>
      </c>
      <c r="BD6" s="15"/>
      <c r="BE6" s="14"/>
      <c r="BF6" s="14">
        <f t="shared" ref="BF6:BF33" si="16">BC6-BE6</f>
        <v>0</v>
      </c>
      <c r="BG6" s="15"/>
      <c r="BH6" s="14"/>
      <c r="BI6" s="14">
        <f t="shared" ref="BI6:BI33" si="17">BF6-BH6</f>
        <v>0</v>
      </c>
      <c r="BJ6" s="15"/>
      <c r="BK6" s="14"/>
      <c r="BL6" s="14">
        <f t="shared" ref="BL6:BL33" si="18">BI6-BK6</f>
        <v>0</v>
      </c>
      <c r="BM6" s="15"/>
      <c r="BN6" s="14"/>
      <c r="BO6" s="14">
        <f t="shared" ref="BO6:BO33" si="19">BL6-BN6</f>
        <v>0</v>
      </c>
      <c r="BP6" s="15"/>
      <c r="BQ6" s="14"/>
      <c r="BR6" s="14">
        <f t="shared" ref="BR6:BR33" si="20">BO6-BQ6</f>
        <v>0</v>
      </c>
      <c r="BS6" s="15"/>
      <c r="BT6" s="14"/>
      <c r="BU6" s="14">
        <f t="shared" ref="BU6:BU33" si="21">BR6-BT6</f>
        <v>0</v>
      </c>
      <c r="BV6" s="15"/>
      <c r="BW6" s="14"/>
      <c r="BX6" s="14">
        <f t="shared" ref="BX6:BX33" si="22">BU6-BW6</f>
        <v>0</v>
      </c>
      <c r="BY6" s="15"/>
      <c r="BZ6" s="14"/>
      <c r="CA6" s="14">
        <f t="shared" ref="CA6:CA33" si="23">BX6-BZ6</f>
        <v>0</v>
      </c>
      <c r="CB6" s="15"/>
      <c r="CC6" s="14"/>
      <c r="CD6" s="14">
        <f t="shared" ref="CD6:CD33" si="24">CA6-CC6</f>
        <v>0</v>
      </c>
      <c r="CE6" s="15"/>
      <c r="CF6" s="14"/>
      <c r="CG6" s="14">
        <f t="shared" ref="CG6:CG33" si="25">CD6-CF6</f>
        <v>0</v>
      </c>
      <c r="CH6" s="15"/>
      <c r="CI6" s="14"/>
      <c r="CJ6" s="14">
        <f t="shared" ref="CJ6:CJ33" si="26">CG6-CI6</f>
        <v>0</v>
      </c>
      <c r="CK6" s="15"/>
      <c r="CL6" s="14"/>
      <c r="CM6" s="14">
        <f t="shared" ref="CM6:CM33" si="27">CJ6-CL6</f>
        <v>0</v>
      </c>
      <c r="CN6" s="15"/>
      <c r="CO6" s="14"/>
      <c r="CP6" s="14">
        <f t="shared" ref="CP6:CP33" si="28">CM6-CO6</f>
        <v>0</v>
      </c>
      <c r="CQ6" s="15"/>
      <c r="CR6" s="14"/>
      <c r="CS6" s="14">
        <f t="shared" ref="CS6:CS33" si="29">CP6-CR6</f>
        <v>0</v>
      </c>
      <c r="CT6" s="15"/>
      <c r="CU6" s="14"/>
      <c r="CV6" s="14">
        <f t="shared" ref="CV6:CV33" si="30">CS6-CU6</f>
        <v>0</v>
      </c>
      <c r="CW6" s="15"/>
      <c r="CX6" s="14"/>
      <c r="CY6" s="14">
        <f t="shared" ref="CY6:CY33" si="31">CV6-CX6</f>
        <v>0</v>
      </c>
      <c r="CZ6" s="15"/>
      <c r="DA6" s="14"/>
      <c r="DB6" s="14">
        <f t="shared" ref="DB6:DB33" si="32">CY6-DA6</f>
        <v>0</v>
      </c>
      <c r="DC6" s="15"/>
      <c r="DD6" s="14"/>
      <c r="DE6" s="14">
        <f t="shared" ref="DE6:DE33" si="33">DB6-DD6</f>
        <v>0</v>
      </c>
      <c r="DF6" s="15"/>
      <c r="DG6" s="14"/>
      <c r="DH6" s="14">
        <f t="shared" ref="DH6:DH33" si="34">DE6-DG6</f>
        <v>0</v>
      </c>
      <c r="DI6" s="15"/>
      <c r="DJ6" s="14"/>
      <c r="DK6" s="14">
        <f t="shared" ref="DK6:DK33" si="35">DH6-DJ6</f>
        <v>0</v>
      </c>
      <c r="DL6" s="15"/>
      <c r="DM6" s="14"/>
      <c r="DN6" s="14">
        <f t="shared" ref="DN6:DN33" si="36">DK6-DM6</f>
        <v>0</v>
      </c>
      <c r="DO6" s="15"/>
      <c r="DP6" s="14"/>
      <c r="DQ6" s="14">
        <f t="shared" ref="DQ6:DQ33" si="37">DN6-DP6</f>
        <v>0</v>
      </c>
      <c r="DR6" s="15"/>
      <c r="DS6" s="14"/>
      <c r="DT6" s="14">
        <f t="shared" ref="DT6:DT33" si="38">DQ6-DS6</f>
        <v>0</v>
      </c>
      <c r="DU6" s="15"/>
      <c r="DV6" s="14"/>
      <c r="DW6" s="14">
        <f t="shared" ref="DW6:DW33" si="39">DT6-DV6</f>
        <v>0</v>
      </c>
      <c r="DX6" s="17">
        <f t="shared" ref="DX6:DX33" si="40">I6+L6+O6+R6+U6+X6+AA6+AD6+AG6+AJ6+AM6+AP6+AS6+AV6+AY6+BB6+BE6+BH6+BK6+BN6+BQ6+BT6+BW6+BZ6+CC6+CF6+CI6+CL6+CO6+CR6+CU6+CX6+DA6+DD6+DG6+DJ6+DM6+DP6+DS6+DV6</f>
        <v>4</v>
      </c>
      <c r="DY6" s="17">
        <f t="shared" ref="DY6:DY33" si="41">H6-DX6</f>
        <v>0</v>
      </c>
      <c r="DZ6" s="1"/>
      <c r="EA6" s="1"/>
    </row>
    <row r="7" spans="1:131" ht="23.25" customHeight="1" x14ac:dyDescent="0.3">
      <c r="A7" s="1"/>
      <c r="B7" s="31"/>
      <c r="C7" s="31"/>
      <c r="D7" s="12" t="s">
        <v>119</v>
      </c>
      <c r="E7" s="14" t="s">
        <v>49</v>
      </c>
      <c r="F7" s="14" t="s">
        <v>50</v>
      </c>
      <c r="G7" s="14" t="s">
        <v>120</v>
      </c>
      <c r="H7" s="14">
        <v>10</v>
      </c>
      <c r="I7" s="14"/>
      <c r="J7" s="14">
        <f t="shared" si="0"/>
        <v>10</v>
      </c>
      <c r="K7" s="15"/>
      <c r="L7" s="14"/>
      <c r="M7" s="14">
        <f t="shared" si="1"/>
        <v>10</v>
      </c>
      <c r="N7" s="15"/>
      <c r="O7" s="14"/>
      <c r="P7" s="14">
        <f t="shared" si="2"/>
        <v>10</v>
      </c>
      <c r="Q7" s="15"/>
      <c r="R7" s="14"/>
      <c r="S7" s="14">
        <f t="shared" si="3"/>
        <v>10</v>
      </c>
      <c r="T7" s="15"/>
      <c r="U7" s="14">
        <v>2</v>
      </c>
      <c r="V7" s="14">
        <f t="shared" si="4"/>
        <v>8</v>
      </c>
      <c r="W7" s="15"/>
      <c r="X7" s="14">
        <v>1</v>
      </c>
      <c r="Y7" s="14">
        <f t="shared" si="5"/>
        <v>7</v>
      </c>
      <c r="Z7" s="15"/>
      <c r="AA7" s="14"/>
      <c r="AB7" s="14">
        <f t="shared" si="6"/>
        <v>7</v>
      </c>
      <c r="AC7" s="15"/>
      <c r="AD7" s="14"/>
      <c r="AE7" s="14">
        <f t="shared" si="7"/>
        <v>7</v>
      </c>
      <c r="AF7" s="15"/>
      <c r="AG7" s="14"/>
      <c r="AH7" s="14">
        <f t="shared" si="8"/>
        <v>7</v>
      </c>
      <c r="AI7" s="15"/>
      <c r="AJ7" s="14">
        <v>2</v>
      </c>
      <c r="AK7" s="14">
        <f t="shared" si="9"/>
        <v>5</v>
      </c>
      <c r="AL7" s="15"/>
      <c r="AM7" s="14">
        <v>2</v>
      </c>
      <c r="AN7" s="14">
        <f t="shared" si="10"/>
        <v>3</v>
      </c>
      <c r="AO7" s="15"/>
      <c r="AP7" s="14">
        <v>2</v>
      </c>
      <c r="AQ7" s="14">
        <f t="shared" si="11"/>
        <v>1</v>
      </c>
      <c r="AR7" s="15"/>
      <c r="AS7" s="14">
        <v>1</v>
      </c>
      <c r="AT7" s="14">
        <f t="shared" si="12"/>
        <v>0</v>
      </c>
      <c r="AU7" s="15"/>
      <c r="AV7" s="14"/>
      <c r="AW7" s="14">
        <f t="shared" si="13"/>
        <v>0</v>
      </c>
      <c r="AX7" s="15"/>
      <c r="AY7" s="14"/>
      <c r="AZ7" s="14">
        <f t="shared" si="14"/>
        <v>0</v>
      </c>
      <c r="BA7" s="15"/>
      <c r="BB7" s="14"/>
      <c r="BC7" s="14">
        <f t="shared" si="15"/>
        <v>0</v>
      </c>
      <c r="BD7" s="15"/>
      <c r="BE7" s="14"/>
      <c r="BF7" s="14">
        <f t="shared" si="16"/>
        <v>0</v>
      </c>
      <c r="BG7" s="15"/>
      <c r="BH7" s="14"/>
      <c r="BI7" s="14">
        <f t="shared" si="17"/>
        <v>0</v>
      </c>
      <c r="BJ7" s="15"/>
      <c r="BK7" s="14"/>
      <c r="BL7" s="14">
        <f t="shared" si="18"/>
        <v>0</v>
      </c>
      <c r="BM7" s="15"/>
      <c r="BN7" s="14"/>
      <c r="BO7" s="14">
        <f t="shared" si="19"/>
        <v>0</v>
      </c>
      <c r="BP7" s="15"/>
      <c r="BQ7" s="14"/>
      <c r="BR7" s="14">
        <f t="shared" si="20"/>
        <v>0</v>
      </c>
      <c r="BS7" s="15"/>
      <c r="BT7" s="14"/>
      <c r="BU7" s="14">
        <f t="shared" si="21"/>
        <v>0</v>
      </c>
      <c r="BV7" s="15"/>
      <c r="BW7" s="14"/>
      <c r="BX7" s="14">
        <f t="shared" si="22"/>
        <v>0</v>
      </c>
      <c r="BY7" s="15"/>
      <c r="BZ7" s="14"/>
      <c r="CA7" s="14">
        <f t="shared" si="23"/>
        <v>0</v>
      </c>
      <c r="CB7" s="15"/>
      <c r="CC7" s="14"/>
      <c r="CD7" s="14">
        <f t="shared" si="24"/>
        <v>0</v>
      </c>
      <c r="CE7" s="15"/>
      <c r="CF7" s="14"/>
      <c r="CG7" s="14">
        <f t="shared" si="25"/>
        <v>0</v>
      </c>
      <c r="CH7" s="15"/>
      <c r="CI7" s="14"/>
      <c r="CJ7" s="14">
        <f t="shared" si="26"/>
        <v>0</v>
      </c>
      <c r="CK7" s="15"/>
      <c r="CL7" s="14"/>
      <c r="CM7" s="14">
        <f t="shared" si="27"/>
        <v>0</v>
      </c>
      <c r="CN7" s="15"/>
      <c r="CO7" s="14"/>
      <c r="CP7" s="14">
        <f t="shared" si="28"/>
        <v>0</v>
      </c>
      <c r="CQ7" s="15"/>
      <c r="CR7" s="14"/>
      <c r="CS7" s="14">
        <f t="shared" si="29"/>
        <v>0</v>
      </c>
      <c r="CT7" s="15"/>
      <c r="CU7" s="14"/>
      <c r="CV7" s="14">
        <f t="shared" si="30"/>
        <v>0</v>
      </c>
      <c r="CW7" s="15"/>
      <c r="CX7" s="14"/>
      <c r="CY7" s="14">
        <f t="shared" si="31"/>
        <v>0</v>
      </c>
      <c r="CZ7" s="15"/>
      <c r="DA7" s="14"/>
      <c r="DB7" s="14">
        <f t="shared" si="32"/>
        <v>0</v>
      </c>
      <c r="DC7" s="15"/>
      <c r="DD7" s="14"/>
      <c r="DE7" s="14">
        <f t="shared" si="33"/>
        <v>0</v>
      </c>
      <c r="DF7" s="15"/>
      <c r="DG7" s="14"/>
      <c r="DH7" s="14">
        <f t="shared" si="34"/>
        <v>0</v>
      </c>
      <c r="DI7" s="15"/>
      <c r="DJ7" s="14"/>
      <c r="DK7" s="14">
        <f t="shared" si="35"/>
        <v>0</v>
      </c>
      <c r="DL7" s="15"/>
      <c r="DM7" s="14"/>
      <c r="DN7" s="14">
        <f t="shared" si="36"/>
        <v>0</v>
      </c>
      <c r="DO7" s="15"/>
      <c r="DP7" s="14"/>
      <c r="DQ7" s="14">
        <f t="shared" si="37"/>
        <v>0</v>
      </c>
      <c r="DR7" s="15"/>
      <c r="DS7" s="14"/>
      <c r="DT7" s="14">
        <f t="shared" si="38"/>
        <v>0</v>
      </c>
      <c r="DU7" s="15"/>
      <c r="DV7" s="14"/>
      <c r="DW7" s="14">
        <f t="shared" si="39"/>
        <v>0</v>
      </c>
      <c r="DX7" s="17">
        <f t="shared" si="40"/>
        <v>10</v>
      </c>
      <c r="DY7" s="17">
        <f t="shared" si="41"/>
        <v>0</v>
      </c>
      <c r="DZ7" s="1"/>
      <c r="EA7" s="1"/>
    </row>
    <row r="8" spans="1:131" ht="21" customHeight="1" x14ac:dyDescent="0.3">
      <c r="A8" s="1"/>
      <c r="B8" s="32"/>
      <c r="C8" s="32"/>
      <c r="D8" s="12" t="s">
        <v>132</v>
      </c>
      <c r="E8" s="14" t="s">
        <v>43</v>
      </c>
      <c r="F8" s="14" t="s">
        <v>50</v>
      </c>
      <c r="G8" s="14" t="s">
        <v>134</v>
      </c>
      <c r="H8" s="14">
        <v>3</v>
      </c>
      <c r="I8" s="14"/>
      <c r="J8" s="14">
        <f t="shared" si="0"/>
        <v>3</v>
      </c>
      <c r="K8" s="15"/>
      <c r="L8" s="14"/>
      <c r="M8" s="14">
        <f t="shared" si="1"/>
        <v>3</v>
      </c>
      <c r="N8" s="15"/>
      <c r="O8" s="14"/>
      <c r="P8" s="14">
        <f t="shared" si="2"/>
        <v>3</v>
      </c>
      <c r="Q8" s="15"/>
      <c r="R8" s="14"/>
      <c r="S8" s="14">
        <f t="shared" si="3"/>
        <v>3</v>
      </c>
      <c r="T8" s="15"/>
      <c r="U8" s="14"/>
      <c r="V8" s="14">
        <f t="shared" si="4"/>
        <v>3</v>
      </c>
      <c r="W8" s="15"/>
      <c r="X8" s="14"/>
      <c r="Y8" s="14">
        <f t="shared" si="5"/>
        <v>3</v>
      </c>
      <c r="Z8" s="15"/>
      <c r="AA8" s="14"/>
      <c r="AB8" s="14">
        <f t="shared" si="6"/>
        <v>3</v>
      </c>
      <c r="AC8" s="15"/>
      <c r="AD8" s="14"/>
      <c r="AE8" s="14">
        <f t="shared" si="7"/>
        <v>3</v>
      </c>
      <c r="AF8" s="15"/>
      <c r="AG8" s="14"/>
      <c r="AH8" s="14">
        <f t="shared" si="8"/>
        <v>3</v>
      </c>
      <c r="AI8" s="15"/>
      <c r="AJ8" s="14"/>
      <c r="AK8" s="14">
        <f t="shared" si="9"/>
        <v>3</v>
      </c>
      <c r="AL8" s="15"/>
      <c r="AM8" s="14"/>
      <c r="AN8" s="14">
        <f t="shared" si="10"/>
        <v>3</v>
      </c>
      <c r="AO8" s="15"/>
      <c r="AP8" s="14"/>
      <c r="AQ8" s="14">
        <f t="shared" si="11"/>
        <v>3</v>
      </c>
      <c r="AR8" s="15"/>
      <c r="AS8" s="14"/>
      <c r="AT8" s="14">
        <f t="shared" si="12"/>
        <v>3</v>
      </c>
      <c r="AU8" s="15"/>
      <c r="AV8" s="14">
        <v>2</v>
      </c>
      <c r="AW8" s="14">
        <f t="shared" si="13"/>
        <v>1</v>
      </c>
      <c r="AX8" s="15"/>
      <c r="AY8" s="14">
        <v>1</v>
      </c>
      <c r="AZ8" s="14">
        <f t="shared" si="14"/>
        <v>0</v>
      </c>
      <c r="BA8" s="15"/>
      <c r="BB8" s="14"/>
      <c r="BC8" s="14">
        <f t="shared" si="15"/>
        <v>0</v>
      </c>
      <c r="BD8" s="15"/>
      <c r="BE8" s="14"/>
      <c r="BF8" s="14">
        <f t="shared" si="16"/>
        <v>0</v>
      </c>
      <c r="BG8" s="15"/>
      <c r="BH8" s="14"/>
      <c r="BI8" s="14">
        <f t="shared" si="17"/>
        <v>0</v>
      </c>
      <c r="BJ8" s="15"/>
      <c r="BK8" s="14"/>
      <c r="BL8" s="14">
        <f t="shared" si="18"/>
        <v>0</v>
      </c>
      <c r="BM8" s="15"/>
      <c r="BN8" s="14"/>
      <c r="BO8" s="14">
        <f t="shared" si="19"/>
        <v>0</v>
      </c>
      <c r="BP8" s="15"/>
      <c r="BQ8" s="14"/>
      <c r="BR8" s="14">
        <f t="shared" si="20"/>
        <v>0</v>
      </c>
      <c r="BS8" s="15"/>
      <c r="BT8" s="14"/>
      <c r="BU8" s="14">
        <f t="shared" si="21"/>
        <v>0</v>
      </c>
      <c r="BV8" s="15"/>
      <c r="BW8" s="14"/>
      <c r="BX8" s="14">
        <f t="shared" si="22"/>
        <v>0</v>
      </c>
      <c r="BY8" s="15"/>
      <c r="BZ8" s="14"/>
      <c r="CA8" s="14">
        <f t="shared" si="23"/>
        <v>0</v>
      </c>
      <c r="CB8" s="15"/>
      <c r="CC8" s="14"/>
      <c r="CD8" s="14">
        <f t="shared" si="24"/>
        <v>0</v>
      </c>
      <c r="CE8" s="15"/>
      <c r="CF8" s="14"/>
      <c r="CG8" s="14">
        <f t="shared" si="25"/>
        <v>0</v>
      </c>
      <c r="CH8" s="15"/>
      <c r="CI8" s="14"/>
      <c r="CJ8" s="14">
        <f t="shared" si="26"/>
        <v>0</v>
      </c>
      <c r="CK8" s="15"/>
      <c r="CL8" s="14"/>
      <c r="CM8" s="14">
        <f t="shared" si="27"/>
        <v>0</v>
      </c>
      <c r="CN8" s="15"/>
      <c r="CO8" s="14"/>
      <c r="CP8" s="14">
        <f t="shared" si="28"/>
        <v>0</v>
      </c>
      <c r="CQ8" s="15"/>
      <c r="CR8" s="14"/>
      <c r="CS8" s="14">
        <f t="shared" si="29"/>
        <v>0</v>
      </c>
      <c r="CT8" s="15"/>
      <c r="CU8" s="14"/>
      <c r="CV8" s="14">
        <f t="shared" si="30"/>
        <v>0</v>
      </c>
      <c r="CW8" s="15"/>
      <c r="CX8" s="14"/>
      <c r="CY8" s="14">
        <f t="shared" si="31"/>
        <v>0</v>
      </c>
      <c r="CZ8" s="15"/>
      <c r="DA8" s="14"/>
      <c r="DB8" s="14">
        <f t="shared" si="32"/>
        <v>0</v>
      </c>
      <c r="DC8" s="15"/>
      <c r="DD8" s="14"/>
      <c r="DE8" s="14">
        <f t="shared" si="33"/>
        <v>0</v>
      </c>
      <c r="DF8" s="15"/>
      <c r="DG8" s="14"/>
      <c r="DH8" s="14">
        <f t="shared" si="34"/>
        <v>0</v>
      </c>
      <c r="DI8" s="15"/>
      <c r="DJ8" s="14"/>
      <c r="DK8" s="14">
        <f t="shared" si="35"/>
        <v>0</v>
      </c>
      <c r="DL8" s="15"/>
      <c r="DM8" s="14"/>
      <c r="DN8" s="14">
        <f t="shared" si="36"/>
        <v>0</v>
      </c>
      <c r="DO8" s="15"/>
      <c r="DP8" s="14"/>
      <c r="DQ8" s="14">
        <f t="shared" si="37"/>
        <v>0</v>
      </c>
      <c r="DR8" s="15"/>
      <c r="DS8" s="14"/>
      <c r="DT8" s="14">
        <f t="shared" si="38"/>
        <v>0</v>
      </c>
      <c r="DU8" s="15"/>
      <c r="DV8" s="14"/>
      <c r="DW8" s="14">
        <f t="shared" si="39"/>
        <v>0</v>
      </c>
      <c r="DX8" s="17">
        <f t="shared" si="40"/>
        <v>3</v>
      </c>
      <c r="DY8" s="17">
        <f t="shared" si="41"/>
        <v>0</v>
      </c>
      <c r="DZ8" s="1"/>
      <c r="EA8" s="1"/>
    </row>
    <row r="9" spans="1:131" ht="55.5" customHeight="1" x14ac:dyDescent="0.3">
      <c r="A9" s="1"/>
      <c r="B9" s="38" t="s">
        <v>137</v>
      </c>
      <c r="C9" s="30" t="s">
        <v>138</v>
      </c>
      <c r="D9" s="12" t="s">
        <v>139</v>
      </c>
      <c r="E9" s="14" t="s">
        <v>49</v>
      </c>
      <c r="F9" s="14" t="s">
        <v>50</v>
      </c>
      <c r="G9" s="14" t="s">
        <v>140</v>
      </c>
      <c r="H9" s="14">
        <v>2</v>
      </c>
      <c r="I9" s="14"/>
      <c r="J9" s="14">
        <f t="shared" si="0"/>
        <v>2</v>
      </c>
      <c r="K9" s="15"/>
      <c r="L9" s="14"/>
      <c r="M9" s="14">
        <f t="shared" si="1"/>
        <v>2</v>
      </c>
      <c r="N9" s="15"/>
      <c r="O9" s="14">
        <v>1</v>
      </c>
      <c r="P9" s="14">
        <f t="shared" si="2"/>
        <v>1</v>
      </c>
      <c r="Q9" s="15"/>
      <c r="R9" s="14">
        <v>1</v>
      </c>
      <c r="S9" s="14">
        <f t="shared" si="3"/>
        <v>0</v>
      </c>
      <c r="T9" s="15"/>
      <c r="U9" s="14"/>
      <c r="V9" s="14">
        <f t="shared" si="4"/>
        <v>0</v>
      </c>
      <c r="W9" s="15"/>
      <c r="X9" s="14"/>
      <c r="Y9" s="14">
        <f t="shared" si="5"/>
        <v>0</v>
      </c>
      <c r="Z9" s="15"/>
      <c r="AA9" s="14"/>
      <c r="AB9" s="14">
        <f t="shared" si="6"/>
        <v>0</v>
      </c>
      <c r="AC9" s="15"/>
      <c r="AD9" s="14"/>
      <c r="AE9" s="14">
        <f t="shared" si="7"/>
        <v>0</v>
      </c>
      <c r="AF9" s="15"/>
      <c r="AG9" s="14"/>
      <c r="AH9" s="14">
        <f t="shared" si="8"/>
        <v>0</v>
      </c>
      <c r="AI9" s="15"/>
      <c r="AJ9" s="14"/>
      <c r="AK9" s="14">
        <f t="shared" si="9"/>
        <v>0</v>
      </c>
      <c r="AL9" s="15"/>
      <c r="AM9" s="14"/>
      <c r="AN9" s="14">
        <f t="shared" si="10"/>
        <v>0</v>
      </c>
      <c r="AO9" s="15"/>
      <c r="AP9" s="14"/>
      <c r="AQ9" s="14">
        <f t="shared" si="11"/>
        <v>0</v>
      </c>
      <c r="AR9" s="15"/>
      <c r="AS9" s="14"/>
      <c r="AT9" s="14">
        <f t="shared" si="12"/>
        <v>0</v>
      </c>
      <c r="AU9" s="15"/>
      <c r="AV9" s="14"/>
      <c r="AW9" s="14">
        <f t="shared" si="13"/>
        <v>0</v>
      </c>
      <c r="AX9" s="15"/>
      <c r="AY9" s="14"/>
      <c r="AZ9" s="14">
        <f t="shared" si="14"/>
        <v>0</v>
      </c>
      <c r="BA9" s="15"/>
      <c r="BB9" s="14"/>
      <c r="BC9" s="14">
        <f t="shared" si="15"/>
        <v>0</v>
      </c>
      <c r="BD9" s="15"/>
      <c r="BE9" s="14"/>
      <c r="BF9" s="14">
        <f t="shared" si="16"/>
        <v>0</v>
      </c>
      <c r="BG9" s="15"/>
      <c r="BH9" s="14"/>
      <c r="BI9" s="14">
        <f t="shared" si="17"/>
        <v>0</v>
      </c>
      <c r="BJ9" s="15"/>
      <c r="BK9" s="14"/>
      <c r="BL9" s="14">
        <f t="shared" si="18"/>
        <v>0</v>
      </c>
      <c r="BM9" s="15"/>
      <c r="BN9" s="14"/>
      <c r="BO9" s="14">
        <f t="shared" si="19"/>
        <v>0</v>
      </c>
      <c r="BP9" s="15"/>
      <c r="BQ9" s="14"/>
      <c r="BR9" s="14">
        <f t="shared" si="20"/>
        <v>0</v>
      </c>
      <c r="BS9" s="15"/>
      <c r="BT9" s="14"/>
      <c r="BU9" s="14">
        <f t="shared" si="21"/>
        <v>0</v>
      </c>
      <c r="BV9" s="15"/>
      <c r="BW9" s="14"/>
      <c r="BX9" s="14">
        <f t="shared" si="22"/>
        <v>0</v>
      </c>
      <c r="BY9" s="15"/>
      <c r="BZ9" s="14"/>
      <c r="CA9" s="14">
        <f t="shared" si="23"/>
        <v>0</v>
      </c>
      <c r="CB9" s="15"/>
      <c r="CC9" s="14"/>
      <c r="CD9" s="14">
        <f t="shared" si="24"/>
        <v>0</v>
      </c>
      <c r="CE9" s="15"/>
      <c r="CF9" s="14"/>
      <c r="CG9" s="14">
        <f t="shared" si="25"/>
        <v>0</v>
      </c>
      <c r="CH9" s="15"/>
      <c r="CI9" s="14"/>
      <c r="CJ9" s="14">
        <f t="shared" si="26"/>
        <v>0</v>
      </c>
      <c r="CK9" s="15"/>
      <c r="CL9" s="14"/>
      <c r="CM9" s="14">
        <f t="shared" si="27"/>
        <v>0</v>
      </c>
      <c r="CN9" s="15"/>
      <c r="CO9" s="14"/>
      <c r="CP9" s="14">
        <f t="shared" si="28"/>
        <v>0</v>
      </c>
      <c r="CQ9" s="15"/>
      <c r="CR9" s="14"/>
      <c r="CS9" s="14">
        <f t="shared" si="29"/>
        <v>0</v>
      </c>
      <c r="CT9" s="15"/>
      <c r="CU9" s="14"/>
      <c r="CV9" s="14">
        <f t="shared" si="30"/>
        <v>0</v>
      </c>
      <c r="CW9" s="15"/>
      <c r="CX9" s="14"/>
      <c r="CY9" s="14">
        <f t="shared" si="31"/>
        <v>0</v>
      </c>
      <c r="CZ9" s="15"/>
      <c r="DA9" s="14"/>
      <c r="DB9" s="14">
        <f t="shared" si="32"/>
        <v>0</v>
      </c>
      <c r="DC9" s="15"/>
      <c r="DD9" s="14"/>
      <c r="DE9" s="14">
        <f t="shared" si="33"/>
        <v>0</v>
      </c>
      <c r="DF9" s="15"/>
      <c r="DG9" s="14"/>
      <c r="DH9" s="14">
        <f t="shared" si="34"/>
        <v>0</v>
      </c>
      <c r="DI9" s="15"/>
      <c r="DJ9" s="14"/>
      <c r="DK9" s="14">
        <f t="shared" si="35"/>
        <v>0</v>
      </c>
      <c r="DL9" s="15"/>
      <c r="DM9" s="14"/>
      <c r="DN9" s="14">
        <f t="shared" si="36"/>
        <v>0</v>
      </c>
      <c r="DO9" s="15"/>
      <c r="DP9" s="14"/>
      <c r="DQ9" s="14">
        <f t="shared" si="37"/>
        <v>0</v>
      </c>
      <c r="DR9" s="15"/>
      <c r="DS9" s="14"/>
      <c r="DT9" s="14">
        <f t="shared" si="38"/>
        <v>0</v>
      </c>
      <c r="DU9" s="15"/>
      <c r="DV9" s="14"/>
      <c r="DW9" s="14">
        <f t="shared" si="39"/>
        <v>0</v>
      </c>
      <c r="DX9" s="17">
        <f t="shared" si="40"/>
        <v>2</v>
      </c>
      <c r="DY9" s="17">
        <f t="shared" si="41"/>
        <v>0</v>
      </c>
      <c r="DZ9" s="1"/>
      <c r="EA9" s="1"/>
    </row>
    <row r="10" spans="1:131" ht="40.5" customHeight="1" x14ac:dyDescent="0.3">
      <c r="A10" s="1"/>
      <c r="B10" s="31"/>
      <c r="C10" s="31"/>
      <c r="D10" s="12" t="s">
        <v>147</v>
      </c>
      <c r="E10" s="14" t="s">
        <v>49</v>
      </c>
      <c r="F10" s="14" t="s">
        <v>50</v>
      </c>
      <c r="G10" s="14" t="s">
        <v>148</v>
      </c>
      <c r="H10" s="14">
        <v>2</v>
      </c>
      <c r="I10" s="14"/>
      <c r="J10" s="14">
        <f t="shared" si="0"/>
        <v>2</v>
      </c>
      <c r="K10" s="15"/>
      <c r="L10" s="14"/>
      <c r="M10" s="14">
        <f t="shared" si="1"/>
        <v>2</v>
      </c>
      <c r="N10" s="15"/>
      <c r="O10" s="14"/>
      <c r="P10" s="14">
        <f t="shared" si="2"/>
        <v>2</v>
      </c>
      <c r="Q10" s="15"/>
      <c r="R10" s="14"/>
      <c r="S10" s="14">
        <f t="shared" si="3"/>
        <v>2</v>
      </c>
      <c r="T10" s="15"/>
      <c r="U10" s="14"/>
      <c r="V10" s="14">
        <f t="shared" si="4"/>
        <v>2</v>
      </c>
      <c r="W10" s="15"/>
      <c r="X10" s="14"/>
      <c r="Y10" s="14">
        <f t="shared" si="5"/>
        <v>2</v>
      </c>
      <c r="Z10" s="15"/>
      <c r="AA10" s="14"/>
      <c r="AB10" s="14">
        <f t="shared" si="6"/>
        <v>2</v>
      </c>
      <c r="AC10" s="15"/>
      <c r="AD10" s="14"/>
      <c r="AE10" s="14">
        <f t="shared" si="7"/>
        <v>2</v>
      </c>
      <c r="AF10" s="15"/>
      <c r="AG10" s="14"/>
      <c r="AH10" s="14">
        <f t="shared" si="8"/>
        <v>2</v>
      </c>
      <c r="AI10" s="15"/>
      <c r="AJ10" s="14"/>
      <c r="AK10" s="14">
        <f t="shared" si="9"/>
        <v>2</v>
      </c>
      <c r="AL10" s="15"/>
      <c r="AM10" s="14"/>
      <c r="AN10" s="14">
        <f t="shared" si="10"/>
        <v>2</v>
      </c>
      <c r="AO10" s="15"/>
      <c r="AP10" s="14"/>
      <c r="AQ10" s="14">
        <f t="shared" si="11"/>
        <v>2</v>
      </c>
      <c r="AR10" s="15"/>
      <c r="AS10" s="14"/>
      <c r="AT10" s="14">
        <f t="shared" si="12"/>
        <v>2</v>
      </c>
      <c r="AU10" s="15"/>
      <c r="AV10" s="14"/>
      <c r="AW10" s="14">
        <f t="shared" si="13"/>
        <v>2</v>
      </c>
      <c r="AX10" s="15"/>
      <c r="AY10" s="14"/>
      <c r="AZ10" s="14">
        <f t="shared" si="14"/>
        <v>2</v>
      </c>
      <c r="BA10" s="15"/>
      <c r="BB10" s="14"/>
      <c r="BC10" s="14">
        <f t="shared" si="15"/>
        <v>2</v>
      </c>
      <c r="BD10" s="15"/>
      <c r="BE10" s="14"/>
      <c r="BF10" s="14">
        <f t="shared" si="16"/>
        <v>2</v>
      </c>
      <c r="BG10" s="15"/>
      <c r="BH10" s="14"/>
      <c r="BI10" s="14">
        <f t="shared" si="17"/>
        <v>2</v>
      </c>
      <c r="BJ10" s="15"/>
      <c r="BK10" s="14">
        <v>2</v>
      </c>
      <c r="BL10" s="14">
        <f t="shared" si="18"/>
        <v>0</v>
      </c>
      <c r="BM10" s="15"/>
      <c r="BN10" s="14"/>
      <c r="BO10" s="14">
        <f t="shared" si="19"/>
        <v>0</v>
      </c>
      <c r="BP10" s="15"/>
      <c r="BQ10" s="14"/>
      <c r="BR10" s="14">
        <f t="shared" si="20"/>
        <v>0</v>
      </c>
      <c r="BS10" s="15"/>
      <c r="BT10" s="14"/>
      <c r="BU10" s="14">
        <f t="shared" si="21"/>
        <v>0</v>
      </c>
      <c r="BV10" s="15"/>
      <c r="BW10" s="14"/>
      <c r="BX10" s="14">
        <f t="shared" si="22"/>
        <v>0</v>
      </c>
      <c r="BY10" s="15"/>
      <c r="BZ10" s="14"/>
      <c r="CA10" s="14">
        <f t="shared" si="23"/>
        <v>0</v>
      </c>
      <c r="CB10" s="15"/>
      <c r="CC10" s="14"/>
      <c r="CD10" s="14">
        <f t="shared" si="24"/>
        <v>0</v>
      </c>
      <c r="CE10" s="15"/>
      <c r="CF10" s="14"/>
      <c r="CG10" s="14">
        <f t="shared" si="25"/>
        <v>0</v>
      </c>
      <c r="CH10" s="15"/>
      <c r="CI10" s="14"/>
      <c r="CJ10" s="14">
        <f t="shared" si="26"/>
        <v>0</v>
      </c>
      <c r="CK10" s="15"/>
      <c r="CL10" s="14"/>
      <c r="CM10" s="14">
        <f t="shared" si="27"/>
        <v>0</v>
      </c>
      <c r="CN10" s="15"/>
      <c r="CO10" s="14"/>
      <c r="CP10" s="14">
        <f t="shared" si="28"/>
        <v>0</v>
      </c>
      <c r="CQ10" s="15"/>
      <c r="CR10" s="14"/>
      <c r="CS10" s="14">
        <f t="shared" si="29"/>
        <v>0</v>
      </c>
      <c r="CT10" s="15"/>
      <c r="CU10" s="14"/>
      <c r="CV10" s="14">
        <f t="shared" si="30"/>
        <v>0</v>
      </c>
      <c r="CW10" s="15"/>
      <c r="CX10" s="14"/>
      <c r="CY10" s="14">
        <f t="shared" si="31"/>
        <v>0</v>
      </c>
      <c r="CZ10" s="15"/>
      <c r="DA10" s="14"/>
      <c r="DB10" s="14">
        <f t="shared" si="32"/>
        <v>0</v>
      </c>
      <c r="DC10" s="15"/>
      <c r="DD10" s="14"/>
      <c r="DE10" s="14">
        <f t="shared" si="33"/>
        <v>0</v>
      </c>
      <c r="DF10" s="15"/>
      <c r="DG10" s="14"/>
      <c r="DH10" s="14">
        <f t="shared" si="34"/>
        <v>0</v>
      </c>
      <c r="DI10" s="15"/>
      <c r="DJ10" s="14"/>
      <c r="DK10" s="14">
        <f t="shared" si="35"/>
        <v>0</v>
      </c>
      <c r="DL10" s="15"/>
      <c r="DM10" s="14"/>
      <c r="DN10" s="14">
        <f t="shared" si="36"/>
        <v>0</v>
      </c>
      <c r="DO10" s="15"/>
      <c r="DP10" s="14"/>
      <c r="DQ10" s="14">
        <f t="shared" si="37"/>
        <v>0</v>
      </c>
      <c r="DR10" s="15"/>
      <c r="DS10" s="14"/>
      <c r="DT10" s="14">
        <f t="shared" si="38"/>
        <v>0</v>
      </c>
      <c r="DU10" s="15"/>
      <c r="DV10" s="14"/>
      <c r="DW10" s="14">
        <f t="shared" si="39"/>
        <v>0</v>
      </c>
      <c r="DX10" s="17">
        <f t="shared" si="40"/>
        <v>2</v>
      </c>
      <c r="DY10" s="17">
        <f t="shared" si="41"/>
        <v>0</v>
      </c>
      <c r="DZ10" s="1"/>
      <c r="EA10" s="1"/>
    </row>
    <row r="11" spans="1:131" ht="40.5" customHeight="1" x14ac:dyDescent="0.3">
      <c r="A11" s="1"/>
      <c r="B11" s="31"/>
      <c r="C11" s="31"/>
      <c r="D11" s="12" t="s">
        <v>153</v>
      </c>
      <c r="E11" s="14" t="s">
        <v>49</v>
      </c>
      <c r="F11" s="14" t="s">
        <v>50</v>
      </c>
      <c r="G11" s="14" t="s">
        <v>154</v>
      </c>
      <c r="H11" s="14">
        <v>3</v>
      </c>
      <c r="I11" s="14"/>
      <c r="J11" s="14">
        <f t="shared" si="0"/>
        <v>3</v>
      </c>
      <c r="K11" s="15"/>
      <c r="L11" s="14"/>
      <c r="M11" s="14">
        <f t="shared" si="1"/>
        <v>3</v>
      </c>
      <c r="N11" s="15"/>
      <c r="O11" s="14"/>
      <c r="P11" s="14">
        <f t="shared" si="2"/>
        <v>3</v>
      </c>
      <c r="Q11" s="15"/>
      <c r="R11" s="14"/>
      <c r="S11" s="14">
        <f t="shared" si="3"/>
        <v>3</v>
      </c>
      <c r="T11" s="15"/>
      <c r="U11" s="14"/>
      <c r="V11" s="14">
        <f t="shared" si="4"/>
        <v>3</v>
      </c>
      <c r="W11" s="15"/>
      <c r="X11" s="14"/>
      <c r="Y11" s="14">
        <f t="shared" si="5"/>
        <v>3</v>
      </c>
      <c r="Z11" s="15"/>
      <c r="AA11" s="14"/>
      <c r="AB11" s="14">
        <f t="shared" si="6"/>
        <v>3</v>
      </c>
      <c r="AC11" s="15"/>
      <c r="AD11" s="14"/>
      <c r="AE11" s="14">
        <f t="shared" si="7"/>
        <v>3</v>
      </c>
      <c r="AF11" s="15"/>
      <c r="AG11" s="14"/>
      <c r="AH11" s="14">
        <f t="shared" si="8"/>
        <v>3</v>
      </c>
      <c r="AI11" s="15"/>
      <c r="AJ11" s="14"/>
      <c r="AK11" s="14">
        <f t="shared" si="9"/>
        <v>3</v>
      </c>
      <c r="AL11" s="15"/>
      <c r="AM11" s="14"/>
      <c r="AN11" s="14">
        <f t="shared" si="10"/>
        <v>3</v>
      </c>
      <c r="AO11" s="15"/>
      <c r="AP11" s="14"/>
      <c r="AQ11" s="14">
        <f t="shared" si="11"/>
        <v>3</v>
      </c>
      <c r="AR11" s="15"/>
      <c r="AS11" s="14"/>
      <c r="AT11" s="14">
        <f t="shared" si="12"/>
        <v>3</v>
      </c>
      <c r="AU11" s="15"/>
      <c r="AV11" s="14"/>
      <c r="AW11" s="14">
        <f t="shared" si="13"/>
        <v>3</v>
      </c>
      <c r="AX11" s="15"/>
      <c r="AY11" s="14"/>
      <c r="AZ11" s="14">
        <f t="shared" si="14"/>
        <v>3</v>
      </c>
      <c r="BA11" s="15"/>
      <c r="BB11" s="14">
        <v>1</v>
      </c>
      <c r="BC11" s="14">
        <f t="shared" si="15"/>
        <v>2</v>
      </c>
      <c r="BD11" s="15"/>
      <c r="BE11" s="14"/>
      <c r="BF11" s="14">
        <f t="shared" si="16"/>
        <v>2</v>
      </c>
      <c r="BG11" s="15"/>
      <c r="BH11" s="14"/>
      <c r="BI11" s="14">
        <f t="shared" si="17"/>
        <v>2</v>
      </c>
      <c r="BJ11" s="15"/>
      <c r="BK11" s="14">
        <v>2</v>
      </c>
      <c r="BL11" s="14">
        <f t="shared" si="18"/>
        <v>0</v>
      </c>
      <c r="BM11" s="15"/>
      <c r="BN11" s="14"/>
      <c r="BO11" s="14">
        <f t="shared" si="19"/>
        <v>0</v>
      </c>
      <c r="BP11" s="15"/>
      <c r="BQ11" s="14"/>
      <c r="BR11" s="14">
        <f t="shared" si="20"/>
        <v>0</v>
      </c>
      <c r="BS11" s="15"/>
      <c r="BT11" s="14"/>
      <c r="BU11" s="14">
        <f t="shared" si="21"/>
        <v>0</v>
      </c>
      <c r="BV11" s="15"/>
      <c r="BW11" s="14"/>
      <c r="BX11" s="14">
        <f t="shared" si="22"/>
        <v>0</v>
      </c>
      <c r="BY11" s="15"/>
      <c r="BZ11" s="14"/>
      <c r="CA11" s="14">
        <f t="shared" si="23"/>
        <v>0</v>
      </c>
      <c r="CB11" s="15"/>
      <c r="CC11" s="14"/>
      <c r="CD11" s="14">
        <f t="shared" si="24"/>
        <v>0</v>
      </c>
      <c r="CE11" s="15"/>
      <c r="CF11" s="14"/>
      <c r="CG11" s="14">
        <f t="shared" si="25"/>
        <v>0</v>
      </c>
      <c r="CH11" s="15"/>
      <c r="CI11" s="14"/>
      <c r="CJ11" s="14">
        <f t="shared" si="26"/>
        <v>0</v>
      </c>
      <c r="CK11" s="15"/>
      <c r="CL11" s="14"/>
      <c r="CM11" s="14">
        <f t="shared" si="27"/>
        <v>0</v>
      </c>
      <c r="CN11" s="15"/>
      <c r="CO11" s="14"/>
      <c r="CP11" s="14">
        <f t="shared" si="28"/>
        <v>0</v>
      </c>
      <c r="CQ11" s="15"/>
      <c r="CR11" s="14"/>
      <c r="CS11" s="14">
        <f t="shared" si="29"/>
        <v>0</v>
      </c>
      <c r="CT11" s="15"/>
      <c r="CU11" s="14"/>
      <c r="CV11" s="14">
        <f t="shared" si="30"/>
        <v>0</v>
      </c>
      <c r="CW11" s="15"/>
      <c r="CX11" s="14"/>
      <c r="CY11" s="14">
        <f t="shared" si="31"/>
        <v>0</v>
      </c>
      <c r="CZ11" s="15"/>
      <c r="DA11" s="14"/>
      <c r="DB11" s="14">
        <f t="shared" si="32"/>
        <v>0</v>
      </c>
      <c r="DC11" s="15"/>
      <c r="DD11" s="14"/>
      <c r="DE11" s="14">
        <f t="shared" si="33"/>
        <v>0</v>
      </c>
      <c r="DF11" s="15"/>
      <c r="DG11" s="14"/>
      <c r="DH11" s="14">
        <f t="shared" si="34"/>
        <v>0</v>
      </c>
      <c r="DI11" s="15"/>
      <c r="DJ11" s="14"/>
      <c r="DK11" s="14">
        <f t="shared" si="35"/>
        <v>0</v>
      </c>
      <c r="DL11" s="15"/>
      <c r="DM11" s="14"/>
      <c r="DN11" s="14">
        <f t="shared" si="36"/>
        <v>0</v>
      </c>
      <c r="DO11" s="15"/>
      <c r="DP11" s="14"/>
      <c r="DQ11" s="14">
        <f t="shared" si="37"/>
        <v>0</v>
      </c>
      <c r="DR11" s="15"/>
      <c r="DS11" s="14"/>
      <c r="DT11" s="14">
        <f t="shared" si="38"/>
        <v>0</v>
      </c>
      <c r="DU11" s="15"/>
      <c r="DV11" s="14"/>
      <c r="DW11" s="14">
        <f t="shared" si="39"/>
        <v>0</v>
      </c>
      <c r="DX11" s="17">
        <f t="shared" si="40"/>
        <v>3</v>
      </c>
      <c r="DY11" s="17">
        <f t="shared" si="41"/>
        <v>0</v>
      </c>
      <c r="DZ11" s="1"/>
      <c r="EA11" s="1"/>
    </row>
    <row r="12" spans="1:131" ht="40.5" customHeight="1" x14ac:dyDescent="0.3">
      <c r="A12" s="1"/>
      <c r="B12" s="31"/>
      <c r="C12" s="31"/>
      <c r="D12" s="20" t="s">
        <v>159</v>
      </c>
      <c r="E12" s="14" t="s">
        <v>43</v>
      </c>
      <c r="F12" s="14" t="s">
        <v>50</v>
      </c>
      <c r="G12" s="14" t="s">
        <v>160</v>
      </c>
      <c r="H12" s="14">
        <v>4</v>
      </c>
      <c r="I12" s="14"/>
      <c r="J12" s="14">
        <f t="shared" si="0"/>
        <v>4</v>
      </c>
      <c r="K12" s="15"/>
      <c r="L12" s="14"/>
      <c r="M12" s="14">
        <f t="shared" si="1"/>
        <v>4</v>
      </c>
      <c r="N12" s="15"/>
      <c r="O12" s="14"/>
      <c r="P12" s="14">
        <f t="shared" si="2"/>
        <v>4</v>
      </c>
      <c r="Q12" s="15"/>
      <c r="R12" s="14"/>
      <c r="S12" s="14">
        <f t="shared" si="3"/>
        <v>4</v>
      </c>
      <c r="T12" s="15"/>
      <c r="U12" s="14"/>
      <c r="V12" s="14">
        <f t="shared" si="4"/>
        <v>4</v>
      </c>
      <c r="W12" s="15"/>
      <c r="X12" s="14"/>
      <c r="Y12" s="14">
        <f t="shared" si="5"/>
        <v>4</v>
      </c>
      <c r="Z12" s="15"/>
      <c r="AA12" s="14"/>
      <c r="AB12" s="14">
        <f t="shared" si="6"/>
        <v>4</v>
      </c>
      <c r="AC12" s="15"/>
      <c r="AD12" s="14"/>
      <c r="AE12" s="14">
        <f t="shared" si="7"/>
        <v>4</v>
      </c>
      <c r="AF12" s="15"/>
      <c r="AG12" s="14"/>
      <c r="AH12" s="14">
        <f t="shared" si="8"/>
        <v>4</v>
      </c>
      <c r="AI12" s="15"/>
      <c r="AJ12" s="14"/>
      <c r="AK12" s="14">
        <f t="shared" si="9"/>
        <v>4</v>
      </c>
      <c r="AL12" s="15"/>
      <c r="AM12" s="14"/>
      <c r="AN12" s="14">
        <f t="shared" si="10"/>
        <v>4</v>
      </c>
      <c r="AO12" s="15"/>
      <c r="AP12" s="14"/>
      <c r="AQ12" s="14">
        <f t="shared" si="11"/>
        <v>4</v>
      </c>
      <c r="AR12" s="15"/>
      <c r="AS12" s="14"/>
      <c r="AT12" s="14">
        <f t="shared" si="12"/>
        <v>4</v>
      </c>
      <c r="AU12" s="15"/>
      <c r="AV12" s="14"/>
      <c r="AW12" s="14">
        <f t="shared" si="13"/>
        <v>4</v>
      </c>
      <c r="AX12" s="15"/>
      <c r="AY12" s="14"/>
      <c r="AZ12" s="14">
        <f t="shared" si="14"/>
        <v>4</v>
      </c>
      <c r="BA12" s="15"/>
      <c r="BB12" s="14"/>
      <c r="BC12" s="14">
        <f t="shared" si="15"/>
        <v>4</v>
      </c>
      <c r="BD12" s="15"/>
      <c r="BE12" s="14"/>
      <c r="BF12" s="14">
        <f t="shared" si="16"/>
        <v>4</v>
      </c>
      <c r="BG12" s="15"/>
      <c r="BH12" s="14">
        <v>2</v>
      </c>
      <c r="BI12" s="14">
        <f t="shared" si="17"/>
        <v>2</v>
      </c>
      <c r="BJ12" s="15"/>
      <c r="BK12" s="14">
        <v>2</v>
      </c>
      <c r="BL12" s="14">
        <f t="shared" si="18"/>
        <v>0</v>
      </c>
      <c r="BM12" s="15"/>
      <c r="BN12" s="14"/>
      <c r="BO12" s="14">
        <f t="shared" si="19"/>
        <v>0</v>
      </c>
      <c r="BP12" s="15"/>
      <c r="BQ12" s="14"/>
      <c r="BR12" s="14">
        <f t="shared" si="20"/>
        <v>0</v>
      </c>
      <c r="BS12" s="15"/>
      <c r="BT12" s="14"/>
      <c r="BU12" s="14">
        <f t="shared" si="21"/>
        <v>0</v>
      </c>
      <c r="BV12" s="15"/>
      <c r="BW12" s="14"/>
      <c r="BX12" s="14">
        <f t="shared" si="22"/>
        <v>0</v>
      </c>
      <c r="BY12" s="15"/>
      <c r="BZ12" s="14"/>
      <c r="CA12" s="14">
        <f t="shared" si="23"/>
        <v>0</v>
      </c>
      <c r="CB12" s="15"/>
      <c r="CC12" s="14"/>
      <c r="CD12" s="14">
        <f t="shared" si="24"/>
        <v>0</v>
      </c>
      <c r="CE12" s="15"/>
      <c r="CF12" s="14"/>
      <c r="CG12" s="14">
        <f t="shared" si="25"/>
        <v>0</v>
      </c>
      <c r="CH12" s="15"/>
      <c r="CI12" s="14"/>
      <c r="CJ12" s="14">
        <f t="shared" si="26"/>
        <v>0</v>
      </c>
      <c r="CK12" s="15"/>
      <c r="CL12" s="14"/>
      <c r="CM12" s="14">
        <f t="shared" si="27"/>
        <v>0</v>
      </c>
      <c r="CN12" s="15"/>
      <c r="CO12" s="14"/>
      <c r="CP12" s="14">
        <f t="shared" si="28"/>
        <v>0</v>
      </c>
      <c r="CQ12" s="15"/>
      <c r="CR12" s="14"/>
      <c r="CS12" s="14">
        <f t="shared" si="29"/>
        <v>0</v>
      </c>
      <c r="CT12" s="15"/>
      <c r="CU12" s="14"/>
      <c r="CV12" s="14">
        <f t="shared" si="30"/>
        <v>0</v>
      </c>
      <c r="CW12" s="15"/>
      <c r="CX12" s="14"/>
      <c r="CY12" s="14">
        <f t="shared" si="31"/>
        <v>0</v>
      </c>
      <c r="CZ12" s="15"/>
      <c r="DA12" s="14"/>
      <c r="DB12" s="14">
        <f t="shared" si="32"/>
        <v>0</v>
      </c>
      <c r="DC12" s="15"/>
      <c r="DD12" s="14"/>
      <c r="DE12" s="14">
        <f t="shared" si="33"/>
        <v>0</v>
      </c>
      <c r="DF12" s="15"/>
      <c r="DG12" s="14"/>
      <c r="DH12" s="14">
        <f t="shared" si="34"/>
        <v>0</v>
      </c>
      <c r="DI12" s="15"/>
      <c r="DJ12" s="14"/>
      <c r="DK12" s="14">
        <f t="shared" si="35"/>
        <v>0</v>
      </c>
      <c r="DL12" s="15"/>
      <c r="DM12" s="14"/>
      <c r="DN12" s="14">
        <f t="shared" si="36"/>
        <v>0</v>
      </c>
      <c r="DO12" s="15"/>
      <c r="DP12" s="14"/>
      <c r="DQ12" s="14">
        <f t="shared" si="37"/>
        <v>0</v>
      </c>
      <c r="DR12" s="15"/>
      <c r="DS12" s="14"/>
      <c r="DT12" s="14">
        <f t="shared" si="38"/>
        <v>0</v>
      </c>
      <c r="DU12" s="15"/>
      <c r="DV12" s="14"/>
      <c r="DW12" s="14">
        <f t="shared" si="39"/>
        <v>0</v>
      </c>
      <c r="DX12" s="17">
        <f t="shared" si="40"/>
        <v>4</v>
      </c>
      <c r="DY12" s="17">
        <f t="shared" si="41"/>
        <v>0</v>
      </c>
      <c r="DZ12" s="1"/>
      <c r="EA12" s="1"/>
    </row>
    <row r="13" spans="1:131" ht="40.5" customHeight="1" x14ac:dyDescent="0.3">
      <c r="A13" s="1"/>
      <c r="B13" s="31"/>
      <c r="C13" s="31"/>
      <c r="D13" s="20" t="s">
        <v>163</v>
      </c>
      <c r="E13" s="14" t="s">
        <v>49</v>
      </c>
      <c r="F13" s="14" t="s">
        <v>50</v>
      </c>
      <c r="G13" s="14" t="s">
        <v>164</v>
      </c>
      <c r="H13" s="14">
        <v>2</v>
      </c>
      <c r="I13" s="14"/>
      <c r="J13" s="14">
        <f t="shared" si="0"/>
        <v>2</v>
      </c>
      <c r="K13" s="15"/>
      <c r="L13" s="14"/>
      <c r="M13" s="14">
        <f t="shared" si="1"/>
        <v>2</v>
      </c>
      <c r="N13" s="15"/>
      <c r="O13" s="14"/>
      <c r="P13" s="14">
        <f t="shared" si="2"/>
        <v>2</v>
      </c>
      <c r="Q13" s="15"/>
      <c r="R13" s="14"/>
      <c r="S13" s="14">
        <f t="shared" si="3"/>
        <v>2</v>
      </c>
      <c r="T13" s="15"/>
      <c r="U13" s="14"/>
      <c r="V13" s="14">
        <f t="shared" si="4"/>
        <v>2</v>
      </c>
      <c r="W13" s="15"/>
      <c r="X13" s="14"/>
      <c r="Y13" s="14">
        <f t="shared" si="5"/>
        <v>2</v>
      </c>
      <c r="Z13" s="15"/>
      <c r="AA13" s="14"/>
      <c r="AB13" s="14">
        <f t="shared" si="6"/>
        <v>2</v>
      </c>
      <c r="AC13" s="15"/>
      <c r="AD13" s="14"/>
      <c r="AE13" s="14">
        <f t="shared" si="7"/>
        <v>2</v>
      </c>
      <c r="AF13" s="15"/>
      <c r="AG13" s="14"/>
      <c r="AH13" s="14">
        <f t="shared" si="8"/>
        <v>2</v>
      </c>
      <c r="AI13" s="15"/>
      <c r="AJ13" s="14"/>
      <c r="AK13" s="14">
        <f t="shared" si="9"/>
        <v>2</v>
      </c>
      <c r="AL13" s="15"/>
      <c r="AM13" s="14"/>
      <c r="AN13" s="14">
        <f t="shared" si="10"/>
        <v>2</v>
      </c>
      <c r="AO13" s="15"/>
      <c r="AP13" s="14"/>
      <c r="AQ13" s="14">
        <f t="shared" si="11"/>
        <v>2</v>
      </c>
      <c r="AR13" s="15"/>
      <c r="AS13" s="14"/>
      <c r="AT13" s="14">
        <f t="shared" si="12"/>
        <v>2</v>
      </c>
      <c r="AU13" s="15"/>
      <c r="AV13" s="14"/>
      <c r="AW13" s="14">
        <f t="shared" si="13"/>
        <v>2</v>
      </c>
      <c r="AX13" s="15"/>
      <c r="AY13" s="14"/>
      <c r="AZ13" s="14">
        <f t="shared" si="14"/>
        <v>2</v>
      </c>
      <c r="BA13" s="15"/>
      <c r="BB13" s="14"/>
      <c r="BC13" s="14">
        <f t="shared" si="15"/>
        <v>2</v>
      </c>
      <c r="BD13" s="15"/>
      <c r="BE13" s="14"/>
      <c r="BF13" s="14">
        <f t="shared" si="16"/>
        <v>2</v>
      </c>
      <c r="BG13" s="15"/>
      <c r="BH13" s="14"/>
      <c r="BI13" s="14">
        <f t="shared" si="17"/>
        <v>2</v>
      </c>
      <c r="BJ13" s="15"/>
      <c r="BK13" s="14">
        <v>2</v>
      </c>
      <c r="BL13" s="14">
        <f t="shared" si="18"/>
        <v>0</v>
      </c>
      <c r="BM13" s="15"/>
      <c r="BN13" s="14"/>
      <c r="BO13" s="14">
        <f t="shared" si="19"/>
        <v>0</v>
      </c>
      <c r="BP13" s="15"/>
      <c r="BQ13" s="14"/>
      <c r="BR13" s="14">
        <f t="shared" si="20"/>
        <v>0</v>
      </c>
      <c r="BS13" s="15"/>
      <c r="BT13" s="14"/>
      <c r="BU13" s="14">
        <f t="shared" si="21"/>
        <v>0</v>
      </c>
      <c r="BV13" s="15"/>
      <c r="BW13" s="14"/>
      <c r="BX13" s="14">
        <f t="shared" si="22"/>
        <v>0</v>
      </c>
      <c r="BY13" s="15"/>
      <c r="BZ13" s="14"/>
      <c r="CA13" s="14">
        <f t="shared" si="23"/>
        <v>0</v>
      </c>
      <c r="CB13" s="15"/>
      <c r="CC13" s="14"/>
      <c r="CD13" s="14">
        <f t="shared" si="24"/>
        <v>0</v>
      </c>
      <c r="CE13" s="15"/>
      <c r="CF13" s="14"/>
      <c r="CG13" s="14">
        <f t="shared" si="25"/>
        <v>0</v>
      </c>
      <c r="CH13" s="15"/>
      <c r="CI13" s="14"/>
      <c r="CJ13" s="14">
        <f t="shared" si="26"/>
        <v>0</v>
      </c>
      <c r="CK13" s="15"/>
      <c r="CL13" s="14"/>
      <c r="CM13" s="14">
        <f t="shared" si="27"/>
        <v>0</v>
      </c>
      <c r="CN13" s="15"/>
      <c r="CO13" s="14"/>
      <c r="CP13" s="14">
        <f t="shared" si="28"/>
        <v>0</v>
      </c>
      <c r="CQ13" s="15"/>
      <c r="CR13" s="14"/>
      <c r="CS13" s="14">
        <f t="shared" si="29"/>
        <v>0</v>
      </c>
      <c r="CT13" s="15"/>
      <c r="CU13" s="14"/>
      <c r="CV13" s="14">
        <f t="shared" si="30"/>
        <v>0</v>
      </c>
      <c r="CW13" s="15"/>
      <c r="CX13" s="14"/>
      <c r="CY13" s="14">
        <f t="shared" si="31"/>
        <v>0</v>
      </c>
      <c r="CZ13" s="15"/>
      <c r="DA13" s="14"/>
      <c r="DB13" s="14">
        <f t="shared" si="32"/>
        <v>0</v>
      </c>
      <c r="DC13" s="15"/>
      <c r="DD13" s="14"/>
      <c r="DE13" s="14">
        <f t="shared" si="33"/>
        <v>0</v>
      </c>
      <c r="DF13" s="15"/>
      <c r="DG13" s="14"/>
      <c r="DH13" s="14">
        <f t="shared" si="34"/>
        <v>0</v>
      </c>
      <c r="DI13" s="15"/>
      <c r="DJ13" s="14"/>
      <c r="DK13" s="14">
        <f t="shared" si="35"/>
        <v>0</v>
      </c>
      <c r="DL13" s="15"/>
      <c r="DM13" s="14"/>
      <c r="DN13" s="14">
        <f t="shared" si="36"/>
        <v>0</v>
      </c>
      <c r="DO13" s="15"/>
      <c r="DP13" s="14"/>
      <c r="DQ13" s="14">
        <f t="shared" si="37"/>
        <v>0</v>
      </c>
      <c r="DR13" s="15"/>
      <c r="DS13" s="14"/>
      <c r="DT13" s="14">
        <f t="shared" si="38"/>
        <v>0</v>
      </c>
      <c r="DU13" s="15"/>
      <c r="DV13" s="14"/>
      <c r="DW13" s="14">
        <f t="shared" si="39"/>
        <v>0</v>
      </c>
      <c r="DX13" s="17">
        <f t="shared" si="40"/>
        <v>2</v>
      </c>
      <c r="DY13" s="17">
        <f t="shared" si="41"/>
        <v>0</v>
      </c>
      <c r="DZ13" s="1"/>
      <c r="EA13" s="1"/>
    </row>
    <row r="14" spans="1:131" ht="40.5" customHeight="1" x14ac:dyDescent="0.3">
      <c r="A14" s="1"/>
      <c r="B14" s="31"/>
      <c r="C14" s="31"/>
      <c r="D14" s="20" t="s">
        <v>171</v>
      </c>
      <c r="E14" s="14" t="s">
        <v>43</v>
      </c>
      <c r="F14" s="14" t="s">
        <v>50</v>
      </c>
      <c r="G14" s="14" t="s">
        <v>172</v>
      </c>
      <c r="H14" s="14">
        <v>2</v>
      </c>
      <c r="I14" s="14"/>
      <c r="J14" s="14">
        <f t="shared" si="0"/>
        <v>2</v>
      </c>
      <c r="K14" s="15"/>
      <c r="L14" s="14"/>
      <c r="M14" s="14">
        <f t="shared" si="1"/>
        <v>2</v>
      </c>
      <c r="N14" s="15"/>
      <c r="O14" s="14"/>
      <c r="P14" s="14">
        <f t="shared" si="2"/>
        <v>2</v>
      </c>
      <c r="Q14" s="15"/>
      <c r="R14" s="14"/>
      <c r="S14" s="14">
        <f t="shared" si="3"/>
        <v>2</v>
      </c>
      <c r="T14" s="15"/>
      <c r="U14" s="14"/>
      <c r="V14" s="14">
        <f t="shared" si="4"/>
        <v>2</v>
      </c>
      <c r="W14" s="15"/>
      <c r="X14" s="14"/>
      <c r="Y14" s="14">
        <f t="shared" si="5"/>
        <v>2</v>
      </c>
      <c r="Z14" s="15"/>
      <c r="AA14" s="14"/>
      <c r="AB14" s="14">
        <f t="shared" si="6"/>
        <v>2</v>
      </c>
      <c r="AC14" s="15"/>
      <c r="AD14" s="14"/>
      <c r="AE14" s="14">
        <f t="shared" si="7"/>
        <v>2</v>
      </c>
      <c r="AF14" s="15"/>
      <c r="AG14" s="14"/>
      <c r="AH14" s="14">
        <f t="shared" si="8"/>
        <v>2</v>
      </c>
      <c r="AI14" s="15"/>
      <c r="AJ14" s="14"/>
      <c r="AK14" s="14">
        <f t="shared" si="9"/>
        <v>2</v>
      </c>
      <c r="AL14" s="15"/>
      <c r="AM14" s="14"/>
      <c r="AN14" s="14">
        <f t="shared" si="10"/>
        <v>2</v>
      </c>
      <c r="AO14" s="15"/>
      <c r="AP14" s="14"/>
      <c r="AQ14" s="14">
        <f t="shared" si="11"/>
        <v>2</v>
      </c>
      <c r="AR14" s="15"/>
      <c r="AS14" s="14"/>
      <c r="AT14" s="14">
        <f t="shared" si="12"/>
        <v>2</v>
      </c>
      <c r="AU14" s="15"/>
      <c r="AV14" s="14"/>
      <c r="AW14" s="14">
        <f t="shared" si="13"/>
        <v>2</v>
      </c>
      <c r="AX14" s="15"/>
      <c r="AY14" s="14"/>
      <c r="AZ14" s="14">
        <f t="shared" si="14"/>
        <v>2</v>
      </c>
      <c r="BA14" s="15"/>
      <c r="BB14" s="14"/>
      <c r="BC14" s="14">
        <f t="shared" si="15"/>
        <v>2</v>
      </c>
      <c r="BD14" s="15"/>
      <c r="BE14" s="14"/>
      <c r="BF14" s="14">
        <f t="shared" si="16"/>
        <v>2</v>
      </c>
      <c r="BG14" s="15"/>
      <c r="BH14" s="14"/>
      <c r="BI14" s="14">
        <f t="shared" si="17"/>
        <v>2</v>
      </c>
      <c r="BJ14" s="15"/>
      <c r="BK14" s="14">
        <v>2</v>
      </c>
      <c r="BL14" s="14">
        <f t="shared" si="18"/>
        <v>0</v>
      </c>
      <c r="BM14" s="15"/>
      <c r="BN14" s="14"/>
      <c r="BO14" s="14">
        <f t="shared" si="19"/>
        <v>0</v>
      </c>
      <c r="BP14" s="15"/>
      <c r="BQ14" s="14"/>
      <c r="BR14" s="14">
        <f t="shared" si="20"/>
        <v>0</v>
      </c>
      <c r="BS14" s="15"/>
      <c r="BT14" s="14"/>
      <c r="BU14" s="14">
        <f t="shared" si="21"/>
        <v>0</v>
      </c>
      <c r="BV14" s="15"/>
      <c r="BW14" s="14"/>
      <c r="BX14" s="14">
        <f t="shared" si="22"/>
        <v>0</v>
      </c>
      <c r="BY14" s="15"/>
      <c r="BZ14" s="14"/>
      <c r="CA14" s="14">
        <f t="shared" si="23"/>
        <v>0</v>
      </c>
      <c r="CB14" s="15"/>
      <c r="CC14" s="14"/>
      <c r="CD14" s="14">
        <f t="shared" si="24"/>
        <v>0</v>
      </c>
      <c r="CE14" s="15"/>
      <c r="CF14" s="14"/>
      <c r="CG14" s="14">
        <f t="shared" si="25"/>
        <v>0</v>
      </c>
      <c r="CH14" s="15"/>
      <c r="CI14" s="14"/>
      <c r="CJ14" s="14">
        <f t="shared" si="26"/>
        <v>0</v>
      </c>
      <c r="CK14" s="15"/>
      <c r="CL14" s="14"/>
      <c r="CM14" s="14">
        <f t="shared" si="27"/>
        <v>0</v>
      </c>
      <c r="CN14" s="15"/>
      <c r="CO14" s="14"/>
      <c r="CP14" s="14">
        <f t="shared" si="28"/>
        <v>0</v>
      </c>
      <c r="CQ14" s="15"/>
      <c r="CR14" s="14"/>
      <c r="CS14" s="14">
        <f t="shared" si="29"/>
        <v>0</v>
      </c>
      <c r="CT14" s="15"/>
      <c r="CU14" s="14"/>
      <c r="CV14" s="14">
        <f t="shared" si="30"/>
        <v>0</v>
      </c>
      <c r="CW14" s="15"/>
      <c r="CX14" s="14"/>
      <c r="CY14" s="14">
        <f t="shared" si="31"/>
        <v>0</v>
      </c>
      <c r="CZ14" s="15"/>
      <c r="DA14" s="14"/>
      <c r="DB14" s="14">
        <f t="shared" si="32"/>
        <v>0</v>
      </c>
      <c r="DC14" s="15"/>
      <c r="DD14" s="14"/>
      <c r="DE14" s="14">
        <f t="shared" si="33"/>
        <v>0</v>
      </c>
      <c r="DF14" s="15"/>
      <c r="DG14" s="14"/>
      <c r="DH14" s="14">
        <f t="shared" si="34"/>
        <v>0</v>
      </c>
      <c r="DI14" s="15"/>
      <c r="DJ14" s="14"/>
      <c r="DK14" s="14">
        <f t="shared" si="35"/>
        <v>0</v>
      </c>
      <c r="DL14" s="15"/>
      <c r="DM14" s="14"/>
      <c r="DN14" s="14">
        <f t="shared" si="36"/>
        <v>0</v>
      </c>
      <c r="DO14" s="15"/>
      <c r="DP14" s="14"/>
      <c r="DQ14" s="14">
        <f t="shared" si="37"/>
        <v>0</v>
      </c>
      <c r="DR14" s="15"/>
      <c r="DS14" s="14"/>
      <c r="DT14" s="14">
        <f t="shared" si="38"/>
        <v>0</v>
      </c>
      <c r="DU14" s="15"/>
      <c r="DV14" s="14"/>
      <c r="DW14" s="14">
        <f t="shared" si="39"/>
        <v>0</v>
      </c>
      <c r="DX14" s="17">
        <f t="shared" si="40"/>
        <v>2</v>
      </c>
      <c r="DY14" s="17">
        <f t="shared" si="41"/>
        <v>0</v>
      </c>
      <c r="DZ14" s="1"/>
      <c r="EA14" s="1"/>
    </row>
    <row r="15" spans="1:131" ht="40.5" customHeight="1" x14ac:dyDescent="0.3">
      <c r="A15" s="1"/>
      <c r="B15" s="32"/>
      <c r="C15" s="32"/>
      <c r="D15" s="20" t="s">
        <v>265</v>
      </c>
      <c r="E15" s="14" t="s">
        <v>49</v>
      </c>
      <c r="F15" s="14" t="s">
        <v>50</v>
      </c>
      <c r="G15" s="14" t="s">
        <v>177</v>
      </c>
      <c r="H15" s="14">
        <v>6</v>
      </c>
      <c r="I15" s="14"/>
      <c r="J15" s="14">
        <f t="shared" si="0"/>
        <v>6</v>
      </c>
      <c r="K15" s="15"/>
      <c r="L15" s="14"/>
      <c r="M15" s="14">
        <f t="shared" si="1"/>
        <v>6</v>
      </c>
      <c r="N15" s="15"/>
      <c r="O15" s="14"/>
      <c r="P15" s="14">
        <f t="shared" si="2"/>
        <v>6</v>
      </c>
      <c r="Q15" s="15"/>
      <c r="R15" s="14"/>
      <c r="S15" s="14">
        <f t="shared" si="3"/>
        <v>6</v>
      </c>
      <c r="T15" s="15"/>
      <c r="U15" s="14"/>
      <c r="V15" s="14">
        <f t="shared" si="4"/>
        <v>6</v>
      </c>
      <c r="W15" s="15"/>
      <c r="X15" s="14"/>
      <c r="Y15" s="14">
        <f t="shared" si="5"/>
        <v>6</v>
      </c>
      <c r="Z15" s="15"/>
      <c r="AA15" s="14"/>
      <c r="AB15" s="14">
        <f t="shared" si="6"/>
        <v>6</v>
      </c>
      <c r="AC15" s="15"/>
      <c r="AD15" s="14"/>
      <c r="AE15" s="14">
        <f t="shared" si="7"/>
        <v>6</v>
      </c>
      <c r="AF15" s="15"/>
      <c r="AG15" s="14"/>
      <c r="AH15" s="14">
        <f t="shared" si="8"/>
        <v>6</v>
      </c>
      <c r="AI15" s="15"/>
      <c r="AJ15" s="14"/>
      <c r="AK15" s="14">
        <f t="shared" si="9"/>
        <v>6</v>
      </c>
      <c r="AL15" s="15"/>
      <c r="AM15" s="14"/>
      <c r="AN15" s="14">
        <f t="shared" si="10"/>
        <v>6</v>
      </c>
      <c r="AO15" s="15"/>
      <c r="AP15" s="14"/>
      <c r="AQ15" s="14">
        <f t="shared" si="11"/>
        <v>6</v>
      </c>
      <c r="AR15" s="15"/>
      <c r="AS15" s="14"/>
      <c r="AT15" s="14">
        <f t="shared" si="12"/>
        <v>6</v>
      </c>
      <c r="AU15" s="15"/>
      <c r="AV15" s="14"/>
      <c r="AW15" s="14">
        <f t="shared" si="13"/>
        <v>6</v>
      </c>
      <c r="AX15" s="15"/>
      <c r="AY15" s="14"/>
      <c r="AZ15" s="14">
        <f t="shared" si="14"/>
        <v>6</v>
      </c>
      <c r="BA15" s="15"/>
      <c r="BB15" s="14"/>
      <c r="BC15" s="14">
        <f t="shared" si="15"/>
        <v>6</v>
      </c>
      <c r="BD15" s="15"/>
      <c r="BE15" s="14">
        <v>2</v>
      </c>
      <c r="BF15" s="14">
        <f t="shared" si="16"/>
        <v>4</v>
      </c>
      <c r="BG15" s="15"/>
      <c r="BH15" s="14"/>
      <c r="BI15" s="14">
        <f t="shared" si="17"/>
        <v>4</v>
      </c>
      <c r="BJ15" s="15"/>
      <c r="BK15" s="14">
        <v>2</v>
      </c>
      <c r="BL15" s="14">
        <f t="shared" si="18"/>
        <v>2</v>
      </c>
      <c r="BM15" s="15"/>
      <c r="BN15" s="14"/>
      <c r="BO15" s="14">
        <f t="shared" si="19"/>
        <v>2</v>
      </c>
      <c r="BP15" s="15"/>
      <c r="BQ15" s="14"/>
      <c r="BR15" s="14">
        <f t="shared" si="20"/>
        <v>2</v>
      </c>
      <c r="BS15" s="15"/>
      <c r="BT15" s="14"/>
      <c r="BU15" s="14">
        <f t="shared" si="21"/>
        <v>2</v>
      </c>
      <c r="BV15" s="15"/>
      <c r="BW15" s="14"/>
      <c r="BX15" s="14">
        <f t="shared" si="22"/>
        <v>2</v>
      </c>
      <c r="BY15" s="15"/>
      <c r="BZ15" s="14"/>
      <c r="CA15" s="14">
        <f t="shared" si="23"/>
        <v>2</v>
      </c>
      <c r="CB15" s="15"/>
      <c r="CC15" s="14"/>
      <c r="CD15" s="14">
        <f t="shared" si="24"/>
        <v>2</v>
      </c>
      <c r="CE15" s="15"/>
      <c r="CF15" s="14">
        <v>2</v>
      </c>
      <c r="CG15" s="14">
        <f t="shared" si="25"/>
        <v>0</v>
      </c>
      <c r="CH15" s="15"/>
      <c r="CI15" s="14"/>
      <c r="CJ15" s="14">
        <f t="shared" si="26"/>
        <v>0</v>
      </c>
      <c r="CK15" s="15"/>
      <c r="CL15" s="14"/>
      <c r="CM15" s="14">
        <f t="shared" si="27"/>
        <v>0</v>
      </c>
      <c r="CN15" s="15"/>
      <c r="CO15" s="14"/>
      <c r="CP15" s="14">
        <f t="shared" si="28"/>
        <v>0</v>
      </c>
      <c r="CQ15" s="15"/>
      <c r="CR15" s="14"/>
      <c r="CS15" s="14">
        <f t="shared" si="29"/>
        <v>0</v>
      </c>
      <c r="CT15" s="15"/>
      <c r="CU15" s="14"/>
      <c r="CV15" s="14">
        <f t="shared" si="30"/>
        <v>0</v>
      </c>
      <c r="CW15" s="15"/>
      <c r="CX15" s="14"/>
      <c r="CY15" s="14">
        <f t="shared" si="31"/>
        <v>0</v>
      </c>
      <c r="CZ15" s="15"/>
      <c r="DA15" s="14"/>
      <c r="DB15" s="14">
        <f t="shared" si="32"/>
        <v>0</v>
      </c>
      <c r="DC15" s="15"/>
      <c r="DD15" s="14"/>
      <c r="DE15" s="14">
        <f t="shared" si="33"/>
        <v>0</v>
      </c>
      <c r="DF15" s="15"/>
      <c r="DG15" s="14"/>
      <c r="DH15" s="14">
        <f t="shared" si="34"/>
        <v>0</v>
      </c>
      <c r="DI15" s="15"/>
      <c r="DJ15" s="14"/>
      <c r="DK15" s="14">
        <f t="shared" si="35"/>
        <v>0</v>
      </c>
      <c r="DL15" s="15"/>
      <c r="DM15" s="14"/>
      <c r="DN15" s="14">
        <f t="shared" si="36"/>
        <v>0</v>
      </c>
      <c r="DO15" s="15"/>
      <c r="DP15" s="14"/>
      <c r="DQ15" s="14">
        <f t="shared" si="37"/>
        <v>0</v>
      </c>
      <c r="DR15" s="15"/>
      <c r="DS15" s="14"/>
      <c r="DT15" s="14">
        <f t="shared" si="38"/>
        <v>0</v>
      </c>
      <c r="DU15" s="15"/>
      <c r="DV15" s="14"/>
      <c r="DW15" s="14">
        <f t="shared" si="39"/>
        <v>0</v>
      </c>
      <c r="DX15" s="17">
        <f t="shared" si="40"/>
        <v>6</v>
      </c>
      <c r="DY15" s="17">
        <f t="shared" si="41"/>
        <v>0</v>
      </c>
      <c r="DZ15" s="1"/>
      <c r="EA15" s="1"/>
    </row>
    <row r="16" spans="1:131" ht="57" customHeight="1" x14ac:dyDescent="0.3">
      <c r="A16" s="1"/>
      <c r="B16" s="38" t="s">
        <v>184</v>
      </c>
      <c r="C16" s="30" t="s">
        <v>185</v>
      </c>
      <c r="D16" s="20" t="s">
        <v>186</v>
      </c>
      <c r="E16" s="14" t="s">
        <v>43</v>
      </c>
      <c r="F16" s="14" t="s">
        <v>50</v>
      </c>
      <c r="G16" s="14" t="s">
        <v>187</v>
      </c>
      <c r="H16" s="14">
        <v>6</v>
      </c>
      <c r="I16" s="14"/>
      <c r="J16" s="14">
        <f t="shared" si="0"/>
        <v>6</v>
      </c>
      <c r="K16" s="15"/>
      <c r="L16" s="14"/>
      <c r="M16" s="14">
        <f t="shared" si="1"/>
        <v>6</v>
      </c>
      <c r="N16" s="15"/>
      <c r="O16" s="14"/>
      <c r="P16" s="14">
        <f t="shared" si="2"/>
        <v>6</v>
      </c>
      <c r="Q16" s="15"/>
      <c r="R16" s="14"/>
      <c r="S16" s="14">
        <f t="shared" si="3"/>
        <v>6</v>
      </c>
      <c r="T16" s="15"/>
      <c r="U16" s="14"/>
      <c r="V16" s="14">
        <f t="shared" si="4"/>
        <v>6</v>
      </c>
      <c r="W16" s="15"/>
      <c r="X16" s="14"/>
      <c r="Y16" s="14">
        <f t="shared" si="5"/>
        <v>6</v>
      </c>
      <c r="Z16" s="15"/>
      <c r="AA16" s="14"/>
      <c r="AB16" s="14">
        <f t="shared" si="6"/>
        <v>6</v>
      </c>
      <c r="AC16" s="15"/>
      <c r="AD16" s="14"/>
      <c r="AE16" s="14">
        <f t="shared" si="7"/>
        <v>6</v>
      </c>
      <c r="AF16" s="15"/>
      <c r="AG16" s="14"/>
      <c r="AH16" s="14">
        <f t="shared" si="8"/>
        <v>6</v>
      </c>
      <c r="AI16" s="15"/>
      <c r="AJ16" s="14"/>
      <c r="AK16" s="14">
        <f t="shared" si="9"/>
        <v>6</v>
      </c>
      <c r="AL16" s="15"/>
      <c r="AM16" s="14"/>
      <c r="AN16" s="14">
        <f t="shared" si="10"/>
        <v>6</v>
      </c>
      <c r="AO16" s="15"/>
      <c r="AP16" s="14"/>
      <c r="AQ16" s="14">
        <f t="shared" si="11"/>
        <v>6</v>
      </c>
      <c r="AR16" s="15"/>
      <c r="AS16" s="14"/>
      <c r="AT16" s="14">
        <f t="shared" si="12"/>
        <v>6</v>
      </c>
      <c r="AU16" s="15"/>
      <c r="AV16" s="14"/>
      <c r="AW16" s="14">
        <f t="shared" si="13"/>
        <v>6</v>
      </c>
      <c r="AX16" s="15"/>
      <c r="AY16" s="14"/>
      <c r="AZ16" s="14">
        <f t="shared" si="14"/>
        <v>6</v>
      </c>
      <c r="BA16" s="15"/>
      <c r="BB16" s="14"/>
      <c r="BC16" s="14">
        <f t="shared" si="15"/>
        <v>6</v>
      </c>
      <c r="BD16" s="15"/>
      <c r="BE16" s="14"/>
      <c r="BF16" s="14">
        <f t="shared" si="16"/>
        <v>6</v>
      </c>
      <c r="BG16" s="15"/>
      <c r="BH16" s="14"/>
      <c r="BI16" s="14">
        <f t="shared" si="17"/>
        <v>6</v>
      </c>
      <c r="BJ16" s="15"/>
      <c r="BK16" s="14"/>
      <c r="BL16" s="14">
        <f t="shared" si="18"/>
        <v>6</v>
      </c>
      <c r="BM16" s="15"/>
      <c r="BN16" s="14"/>
      <c r="BO16" s="14">
        <f t="shared" si="19"/>
        <v>6</v>
      </c>
      <c r="BP16" s="15"/>
      <c r="BQ16" s="14"/>
      <c r="BR16" s="14">
        <f t="shared" si="20"/>
        <v>6</v>
      </c>
      <c r="BS16" s="15"/>
      <c r="BT16" s="14"/>
      <c r="BU16" s="14">
        <f t="shared" si="21"/>
        <v>6</v>
      </c>
      <c r="BV16" s="15"/>
      <c r="BW16" s="14"/>
      <c r="BX16" s="14">
        <f t="shared" si="22"/>
        <v>6</v>
      </c>
      <c r="BY16" s="15"/>
      <c r="BZ16" s="14">
        <v>4</v>
      </c>
      <c r="CA16" s="14">
        <f t="shared" si="23"/>
        <v>2</v>
      </c>
      <c r="CB16" s="15"/>
      <c r="CC16" s="14"/>
      <c r="CD16" s="14">
        <f t="shared" si="24"/>
        <v>2</v>
      </c>
      <c r="CE16" s="15"/>
      <c r="CF16" s="14">
        <v>2</v>
      </c>
      <c r="CG16" s="14">
        <f t="shared" si="25"/>
        <v>0</v>
      </c>
      <c r="CH16" s="15"/>
      <c r="CI16" s="14"/>
      <c r="CJ16" s="14">
        <f t="shared" si="26"/>
        <v>0</v>
      </c>
      <c r="CK16" s="15"/>
      <c r="CL16" s="14"/>
      <c r="CM16" s="14">
        <f t="shared" si="27"/>
        <v>0</v>
      </c>
      <c r="CN16" s="15"/>
      <c r="CO16" s="14"/>
      <c r="CP16" s="14">
        <f t="shared" si="28"/>
        <v>0</v>
      </c>
      <c r="CQ16" s="15"/>
      <c r="CR16" s="14"/>
      <c r="CS16" s="14">
        <f t="shared" si="29"/>
        <v>0</v>
      </c>
      <c r="CT16" s="15"/>
      <c r="CU16" s="14"/>
      <c r="CV16" s="14">
        <f t="shared" si="30"/>
        <v>0</v>
      </c>
      <c r="CW16" s="15"/>
      <c r="CX16" s="14"/>
      <c r="CY16" s="14">
        <f t="shared" si="31"/>
        <v>0</v>
      </c>
      <c r="CZ16" s="15"/>
      <c r="DA16" s="14"/>
      <c r="DB16" s="14">
        <f t="shared" si="32"/>
        <v>0</v>
      </c>
      <c r="DC16" s="15"/>
      <c r="DD16" s="14"/>
      <c r="DE16" s="14">
        <f t="shared" si="33"/>
        <v>0</v>
      </c>
      <c r="DF16" s="15"/>
      <c r="DG16" s="14"/>
      <c r="DH16" s="14">
        <f t="shared" si="34"/>
        <v>0</v>
      </c>
      <c r="DI16" s="15"/>
      <c r="DJ16" s="14"/>
      <c r="DK16" s="14">
        <f t="shared" si="35"/>
        <v>0</v>
      </c>
      <c r="DL16" s="15"/>
      <c r="DM16" s="14"/>
      <c r="DN16" s="14">
        <f t="shared" si="36"/>
        <v>0</v>
      </c>
      <c r="DO16" s="15"/>
      <c r="DP16" s="14"/>
      <c r="DQ16" s="14">
        <f t="shared" si="37"/>
        <v>0</v>
      </c>
      <c r="DR16" s="15"/>
      <c r="DS16" s="14"/>
      <c r="DT16" s="14">
        <f t="shared" si="38"/>
        <v>0</v>
      </c>
      <c r="DU16" s="15"/>
      <c r="DV16" s="14"/>
      <c r="DW16" s="14">
        <f t="shared" si="39"/>
        <v>0</v>
      </c>
      <c r="DX16" s="17">
        <f t="shared" si="40"/>
        <v>6</v>
      </c>
      <c r="DY16" s="17">
        <f t="shared" si="41"/>
        <v>0</v>
      </c>
      <c r="DZ16" s="1"/>
      <c r="EA16" s="1"/>
    </row>
    <row r="17" spans="1:131" ht="57" customHeight="1" x14ac:dyDescent="0.3">
      <c r="A17" s="1"/>
      <c r="B17" s="31"/>
      <c r="C17" s="31"/>
      <c r="D17" s="20" t="s">
        <v>192</v>
      </c>
      <c r="E17" s="14" t="s">
        <v>49</v>
      </c>
      <c r="F17" s="14" t="s">
        <v>50</v>
      </c>
      <c r="G17" s="14" t="s">
        <v>193</v>
      </c>
      <c r="H17" s="14">
        <v>4</v>
      </c>
      <c r="I17" s="14"/>
      <c r="J17" s="14">
        <f t="shared" si="0"/>
        <v>4</v>
      </c>
      <c r="K17" s="15"/>
      <c r="L17" s="14"/>
      <c r="M17" s="14">
        <f t="shared" si="1"/>
        <v>4</v>
      </c>
      <c r="N17" s="15"/>
      <c r="O17" s="14"/>
      <c r="P17" s="14">
        <f t="shared" si="2"/>
        <v>4</v>
      </c>
      <c r="Q17" s="15"/>
      <c r="R17" s="14"/>
      <c r="S17" s="14">
        <f t="shared" si="3"/>
        <v>4</v>
      </c>
      <c r="T17" s="15"/>
      <c r="U17" s="14"/>
      <c r="V17" s="14">
        <f t="shared" si="4"/>
        <v>4</v>
      </c>
      <c r="W17" s="15"/>
      <c r="X17" s="14"/>
      <c r="Y17" s="14">
        <f t="shared" si="5"/>
        <v>4</v>
      </c>
      <c r="Z17" s="15"/>
      <c r="AA17" s="14"/>
      <c r="AB17" s="14">
        <f t="shared" si="6"/>
        <v>4</v>
      </c>
      <c r="AC17" s="15"/>
      <c r="AD17" s="14"/>
      <c r="AE17" s="14">
        <f t="shared" si="7"/>
        <v>4</v>
      </c>
      <c r="AF17" s="15"/>
      <c r="AG17" s="14"/>
      <c r="AH17" s="14">
        <f t="shared" si="8"/>
        <v>4</v>
      </c>
      <c r="AI17" s="15"/>
      <c r="AJ17" s="14"/>
      <c r="AK17" s="14">
        <f t="shared" si="9"/>
        <v>4</v>
      </c>
      <c r="AL17" s="15"/>
      <c r="AM17" s="14"/>
      <c r="AN17" s="14">
        <f t="shared" si="10"/>
        <v>4</v>
      </c>
      <c r="AO17" s="15"/>
      <c r="AP17" s="14"/>
      <c r="AQ17" s="14">
        <f t="shared" si="11"/>
        <v>4</v>
      </c>
      <c r="AR17" s="15"/>
      <c r="AS17" s="14"/>
      <c r="AT17" s="14">
        <f t="shared" si="12"/>
        <v>4</v>
      </c>
      <c r="AU17" s="15"/>
      <c r="AV17" s="14"/>
      <c r="AW17" s="14">
        <f t="shared" si="13"/>
        <v>4</v>
      </c>
      <c r="AX17" s="15"/>
      <c r="AY17" s="14"/>
      <c r="AZ17" s="14">
        <f t="shared" si="14"/>
        <v>4</v>
      </c>
      <c r="BA17" s="15"/>
      <c r="BB17" s="14"/>
      <c r="BC17" s="14">
        <f t="shared" si="15"/>
        <v>4</v>
      </c>
      <c r="BD17" s="15"/>
      <c r="BE17" s="14"/>
      <c r="BF17" s="14">
        <f t="shared" si="16"/>
        <v>4</v>
      </c>
      <c r="BG17" s="15"/>
      <c r="BH17" s="14"/>
      <c r="BI17" s="14">
        <f t="shared" si="17"/>
        <v>4</v>
      </c>
      <c r="BJ17" s="15"/>
      <c r="BK17" s="14"/>
      <c r="BL17" s="14">
        <f t="shared" si="18"/>
        <v>4</v>
      </c>
      <c r="BM17" s="15"/>
      <c r="BN17" s="14"/>
      <c r="BO17" s="14">
        <f t="shared" si="19"/>
        <v>4</v>
      </c>
      <c r="BP17" s="15"/>
      <c r="BQ17" s="14"/>
      <c r="BR17" s="14">
        <f t="shared" si="20"/>
        <v>4</v>
      </c>
      <c r="BS17" s="15"/>
      <c r="BT17" s="14"/>
      <c r="BU17" s="14">
        <f t="shared" si="21"/>
        <v>4</v>
      </c>
      <c r="BV17" s="15"/>
      <c r="BW17" s="14">
        <v>2</v>
      </c>
      <c r="BX17" s="14">
        <f t="shared" si="22"/>
        <v>2</v>
      </c>
      <c r="BY17" s="15"/>
      <c r="BZ17" s="14">
        <v>2</v>
      </c>
      <c r="CA17" s="14">
        <f t="shared" si="23"/>
        <v>0</v>
      </c>
      <c r="CB17" s="15"/>
      <c r="CC17" s="14"/>
      <c r="CD17" s="14">
        <f t="shared" si="24"/>
        <v>0</v>
      </c>
      <c r="CE17" s="15"/>
      <c r="CF17" s="14"/>
      <c r="CG17" s="14">
        <f t="shared" si="25"/>
        <v>0</v>
      </c>
      <c r="CH17" s="15"/>
      <c r="CI17" s="14"/>
      <c r="CJ17" s="14">
        <f t="shared" si="26"/>
        <v>0</v>
      </c>
      <c r="CK17" s="15"/>
      <c r="CL17" s="14"/>
      <c r="CM17" s="14">
        <f t="shared" si="27"/>
        <v>0</v>
      </c>
      <c r="CN17" s="15"/>
      <c r="CO17" s="14"/>
      <c r="CP17" s="14">
        <f t="shared" si="28"/>
        <v>0</v>
      </c>
      <c r="CQ17" s="15"/>
      <c r="CR17" s="14"/>
      <c r="CS17" s="14">
        <f t="shared" si="29"/>
        <v>0</v>
      </c>
      <c r="CT17" s="15"/>
      <c r="CU17" s="14"/>
      <c r="CV17" s="14">
        <f t="shared" si="30"/>
        <v>0</v>
      </c>
      <c r="CW17" s="15"/>
      <c r="CX17" s="14"/>
      <c r="CY17" s="14">
        <f t="shared" si="31"/>
        <v>0</v>
      </c>
      <c r="CZ17" s="15"/>
      <c r="DA17" s="14"/>
      <c r="DB17" s="14">
        <f t="shared" si="32"/>
        <v>0</v>
      </c>
      <c r="DC17" s="15"/>
      <c r="DD17" s="14"/>
      <c r="DE17" s="14">
        <f t="shared" si="33"/>
        <v>0</v>
      </c>
      <c r="DF17" s="15"/>
      <c r="DG17" s="14"/>
      <c r="DH17" s="14">
        <f t="shared" si="34"/>
        <v>0</v>
      </c>
      <c r="DI17" s="15"/>
      <c r="DJ17" s="14"/>
      <c r="DK17" s="14">
        <f t="shared" si="35"/>
        <v>0</v>
      </c>
      <c r="DL17" s="15"/>
      <c r="DM17" s="14"/>
      <c r="DN17" s="14">
        <f t="shared" si="36"/>
        <v>0</v>
      </c>
      <c r="DO17" s="15"/>
      <c r="DP17" s="14"/>
      <c r="DQ17" s="14">
        <f t="shared" si="37"/>
        <v>0</v>
      </c>
      <c r="DR17" s="15"/>
      <c r="DS17" s="14"/>
      <c r="DT17" s="14">
        <f t="shared" si="38"/>
        <v>0</v>
      </c>
      <c r="DU17" s="15"/>
      <c r="DV17" s="14"/>
      <c r="DW17" s="14">
        <f t="shared" si="39"/>
        <v>0</v>
      </c>
      <c r="DX17" s="17">
        <f t="shared" si="40"/>
        <v>4</v>
      </c>
      <c r="DY17" s="17">
        <f t="shared" si="41"/>
        <v>0</v>
      </c>
      <c r="DZ17" s="1"/>
      <c r="EA17" s="1"/>
    </row>
    <row r="18" spans="1:131" ht="57" customHeight="1" x14ac:dyDescent="0.3">
      <c r="A18" s="1"/>
      <c r="B18" s="31"/>
      <c r="C18" s="31"/>
      <c r="D18" s="20" t="s">
        <v>200</v>
      </c>
      <c r="E18" s="14" t="s">
        <v>43</v>
      </c>
      <c r="F18" s="14" t="s">
        <v>50</v>
      </c>
      <c r="G18" s="14" t="s">
        <v>201</v>
      </c>
      <c r="H18" s="14">
        <v>4</v>
      </c>
      <c r="I18" s="14"/>
      <c r="J18" s="14">
        <f t="shared" si="0"/>
        <v>4</v>
      </c>
      <c r="K18" s="15"/>
      <c r="L18" s="14"/>
      <c r="M18" s="14">
        <f t="shared" si="1"/>
        <v>4</v>
      </c>
      <c r="N18" s="15"/>
      <c r="O18" s="14"/>
      <c r="P18" s="14">
        <f t="shared" si="2"/>
        <v>4</v>
      </c>
      <c r="Q18" s="15"/>
      <c r="R18" s="14"/>
      <c r="S18" s="14">
        <f t="shared" si="3"/>
        <v>4</v>
      </c>
      <c r="T18" s="15"/>
      <c r="U18" s="14"/>
      <c r="V18" s="14">
        <f t="shared" si="4"/>
        <v>4</v>
      </c>
      <c r="W18" s="15"/>
      <c r="X18" s="14"/>
      <c r="Y18" s="14">
        <f t="shared" si="5"/>
        <v>4</v>
      </c>
      <c r="Z18" s="15"/>
      <c r="AA18" s="14"/>
      <c r="AB18" s="14">
        <f t="shared" si="6"/>
        <v>4</v>
      </c>
      <c r="AC18" s="15"/>
      <c r="AD18" s="14"/>
      <c r="AE18" s="14">
        <f t="shared" si="7"/>
        <v>4</v>
      </c>
      <c r="AF18" s="15"/>
      <c r="AG18" s="14"/>
      <c r="AH18" s="14">
        <f t="shared" si="8"/>
        <v>4</v>
      </c>
      <c r="AI18" s="15"/>
      <c r="AJ18" s="14"/>
      <c r="AK18" s="14">
        <f t="shared" si="9"/>
        <v>4</v>
      </c>
      <c r="AL18" s="15"/>
      <c r="AM18" s="14"/>
      <c r="AN18" s="14">
        <f t="shared" si="10"/>
        <v>4</v>
      </c>
      <c r="AO18" s="15"/>
      <c r="AP18" s="14"/>
      <c r="AQ18" s="14">
        <f t="shared" si="11"/>
        <v>4</v>
      </c>
      <c r="AR18" s="15"/>
      <c r="AS18" s="14"/>
      <c r="AT18" s="14">
        <f t="shared" si="12"/>
        <v>4</v>
      </c>
      <c r="AU18" s="15"/>
      <c r="AV18" s="14"/>
      <c r="AW18" s="14">
        <f t="shared" si="13"/>
        <v>4</v>
      </c>
      <c r="AX18" s="15"/>
      <c r="AY18" s="14"/>
      <c r="AZ18" s="14">
        <f t="shared" si="14"/>
        <v>4</v>
      </c>
      <c r="BA18" s="15"/>
      <c r="BB18" s="14"/>
      <c r="BC18" s="14">
        <f t="shared" si="15"/>
        <v>4</v>
      </c>
      <c r="BD18" s="15"/>
      <c r="BE18" s="14"/>
      <c r="BF18" s="14">
        <f t="shared" si="16"/>
        <v>4</v>
      </c>
      <c r="BG18" s="15"/>
      <c r="BH18" s="14"/>
      <c r="BI18" s="14">
        <f t="shared" si="17"/>
        <v>4</v>
      </c>
      <c r="BJ18" s="15"/>
      <c r="BK18" s="14"/>
      <c r="BL18" s="14">
        <f t="shared" si="18"/>
        <v>4</v>
      </c>
      <c r="BM18" s="15"/>
      <c r="BN18" s="14"/>
      <c r="BO18" s="14">
        <f t="shared" si="19"/>
        <v>4</v>
      </c>
      <c r="BP18" s="15"/>
      <c r="BQ18" s="14"/>
      <c r="BR18" s="14">
        <f t="shared" si="20"/>
        <v>4</v>
      </c>
      <c r="BS18" s="15"/>
      <c r="BT18" s="14"/>
      <c r="BU18" s="14">
        <f t="shared" si="21"/>
        <v>4</v>
      </c>
      <c r="BV18" s="15"/>
      <c r="BW18" s="14"/>
      <c r="BX18" s="14">
        <f t="shared" si="22"/>
        <v>4</v>
      </c>
      <c r="BY18" s="15"/>
      <c r="BZ18" s="14">
        <v>2</v>
      </c>
      <c r="CA18" s="14">
        <f t="shared" si="23"/>
        <v>2</v>
      </c>
      <c r="CB18" s="15"/>
      <c r="CC18" s="14"/>
      <c r="CD18" s="14">
        <f t="shared" si="24"/>
        <v>2</v>
      </c>
      <c r="CE18" s="15"/>
      <c r="CF18" s="14">
        <v>2</v>
      </c>
      <c r="CG18" s="14">
        <f t="shared" si="25"/>
        <v>0</v>
      </c>
      <c r="CH18" s="15"/>
      <c r="CI18" s="14"/>
      <c r="CJ18" s="14">
        <f t="shared" si="26"/>
        <v>0</v>
      </c>
      <c r="CK18" s="15"/>
      <c r="CL18" s="14"/>
      <c r="CM18" s="14">
        <f t="shared" si="27"/>
        <v>0</v>
      </c>
      <c r="CN18" s="15"/>
      <c r="CO18" s="14"/>
      <c r="CP18" s="14">
        <f t="shared" si="28"/>
        <v>0</v>
      </c>
      <c r="CQ18" s="15"/>
      <c r="CR18" s="14"/>
      <c r="CS18" s="14">
        <f t="shared" si="29"/>
        <v>0</v>
      </c>
      <c r="CT18" s="15"/>
      <c r="CU18" s="14"/>
      <c r="CV18" s="14">
        <f t="shared" si="30"/>
        <v>0</v>
      </c>
      <c r="CW18" s="15"/>
      <c r="CX18" s="14"/>
      <c r="CY18" s="14">
        <f t="shared" si="31"/>
        <v>0</v>
      </c>
      <c r="CZ18" s="15"/>
      <c r="DA18" s="14"/>
      <c r="DB18" s="14">
        <f t="shared" si="32"/>
        <v>0</v>
      </c>
      <c r="DC18" s="15"/>
      <c r="DD18" s="14"/>
      <c r="DE18" s="14">
        <f t="shared" si="33"/>
        <v>0</v>
      </c>
      <c r="DF18" s="15"/>
      <c r="DG18" s="14"/>
      <c r="DH18" s="14">
        <f t="shared" si="34"/>
        <v>0</v>
      </c>
      <c r="DI18" s="15"/>
      <c r="DJ18" s="14"/>
      <c r="DK18" s="14">
        <f t="shared" si="35"/>
        <v>0</v>
      </c>
      <c r="DL18" s="15"/>
      <c r="DM18" s="14"/>
      <c r="DN18" s="14">
        <f t="shared" si="36"/>
        <v>0</v>
      </c>
      <c r="DO18" s="15"/>
      <c r="DP18" s="14"/>
      <c r="DQ18" s="14">
        <f t="shared" si="37"/>
        <v>0</v>
      </c>
      <c r="DR18" s="15"/>
      <c r="DS18" s="14"/>
      <c r="DT18" s="14">
        <f t="shared" si="38"/>
        <v>0</v>
      </c>
      <c r="DU18" s="15"/>
      <c r="DV18" s="14"/>
      <c r="DW18" s="14">
        <f t="shared" si="39"/>
        <v>0</v>
      </c>
      <c r="DX18" s="17">
        <f t="shared" si="40"/>
        <v>4</v>
      </c>
      <c r="DY18" s="17">
        <f t="shared" si="41"/>
        <v>0</v>
      </c>
      <c r="DZ18" s="1"/>
      <c r="EA18" s="1"/>
    </row>
    <row r="19" spans="1:131" ht="57" customHeight="1" x14ac:dyDescent="0.3">
      <c r="A19" s="1"/>
      <c r="B19" s="31"/>
      <c r="C19" s="31"/>
      <c r="D19" s="20" t="s">
        <v>206</v>
      </c>
      <c r="E19" s="14" t="s">
        <v>49</v>
      </c>
      <c r="F19" s="14" t="s">
        <v>50</v>
      </c>
      <c r="G19" s="14" t="s">
        <v>207</v>
      </c>
      <c r="H19" s="14">
        <v>4</v>
      </c>
      <c r="I19" s="14"/>
      <c r="J19" s="14">
        <f t="shared" si="0"/>
        <v>4</v>
      </c>
      <c r="K19" s="15"/>
      <c r="L19" s="14"/>
      <c r="M19" s="14">
        <f t="shared" si="1"/>
        <v>4</v>
      </c>
      <c r="N19" s="15"/>
      <c r="O19" s="14"/>
      <c r="P19" s="14">
        <f t="shared" si="2"/>
        <v>4</v>
      </c>
      <c r="Q19" s="15"/>
      <c r="R19" s="14"/>
      <c r="S19" s="14">
        <f t="shared" si="3"/>
        <v>4</v>
      </c>
      <c r="T19" s="15"/>
      <c r="U19" s="14"/>
      <c r="V19" s="14">
        <f t="shared" si="4"/>
        <v>4</v>
      </c>
      <c r="W19" s="15"/>
      <c r="X19" s="14"/>
      <c r="Y19" s="14">
        <f t="shared" si="5"/>
        <v>4</v>
      </c>
      <c r="Z19" s="15"/>
      <c r="AA19" s="14"/>
      <c r="AB19" s="14">
        <f t="shared" si="6"/>
        <v>4</v>
      </c>
      <c r="AC19" s="15"/>
      <c r="AD19" s="14"/>
      <c r="AE19" s="14">
        <f t="shared" si="7"/>
        <v>4</v>
      </c>
      <c r="AF19" s="15"/>
      <c r="AG19" s="14"/>
      <c r="AH19" s="14">
        <f t="shared" si="8"/>
        <v>4</v>
      </c>
      <c r="AI19" s="15"/>
      <c r="AJ19" s="14"/>
      <c r="AK19" s="14">
        <f t="shared" si="9"/>
        <v>4</v>
      </c>
      <c r="AL19" s="15"/>
      <c r="AM19" s="14"/>
      <c r="AN19" s="14">
        <f t="shared" si="10"/>
        <v>4</v>
      </c>
      <c r="AO19" s="15"/>
      <c r="AP19" s="14"/>
      <c r="AQ19" s="14">
        <f t="shared" si="11"/>
        <v>4</v>
      </c>
      <c r="AR19" s="15"/>
      <c r="AS19" s="14"/>
      <c r="AT19" s="14">
        <f t="shared" si="12"/>
        <v>4</v>
      </c>
      <c r="AU19" s="15"/>
      <c r="AV19" s="14"/>
      <c r="AW19" s="14">
        <f t="shared" si="13"/>
        <v>4</v>
      </c>
      <c r="AX19" s="15"/>
      <c r="AY19" s="14"/>
      <c r="AZ19" s="14">
        <f t="shared" si="14"/>
        <v>4</v>
      </c>
      <c r="BA19" s="15"/>
      <c r="BB19" s="14"/>
      <c r="BC19" s="14">
        <f t="shared" si="15"/>
        <v>4</v>
      </c>
      <c r="BD19" s="15"/>
      <c r="BE19" s="14"/>
      <c r="BF19" s="14">
        <f t="shared" si="16"/>
        <v>4</v>
      </c>
      <c r="BG19" s="15"/>
      <c r="BH19" s="14"/>
      <c r="BI19" s="14">
        <f t="shared" si="17"/>
        <v>4</v>
      </c>
      <c r="BJ19" s="15"/>
      <c r="BK19" s="14"/>
      <c r="BL19" s="14">
        <f t="shared" si="18"/>
        <v>4</v>
      </c>
      <c r="BM19" s="15"/>
      <c r="BN19" s="14"/>
      <c r="BO19" s="14">
        <f t="shared" si="19"/>
        <v>4</v>
      </c>
      <c r="BP19" s="15"/>
      <c r="BQ19" s="14"/>
      <c r="BR19" s="14">
        <f t="shared" si="20"/>
        <v>4</v>
      </c>
      <c r="BS19" s="15"/>
      <c r="BT19" s="14"/>
      <c r="BU19" s="14">
        <f t="shared" si="21"/>
        <v>4</v>
      </c>
      <c r="BV19" s="15"/>
      <c r="BW19" s="14">
        <v>2</v>
      </c>
      <c r="BX19" s="14">
        <f t="shared" si="22"/>
        <v>2</v>
      </c>
      <c r="BY19" s="15"/>
      <c r="BZ19" s="14">
        <v>2</v>
      </c>
      <c r="CA19" s="14">
        <f t="shared" si="23"/>
        <v>0</v>
      </c>
      <c r="CB19" s="15"/>
      <c r="CC19" s="14"/>
      <c r="CD19" s="14">
        <f t="shared" si="24"/>
        <v>0</v>
      </c>
      <c r="CE19" s="15"/>
      <c r="CF19" s="14"/>
      <c r="CG19" s="14">
        <f t="shared" si="25"/>
        <v>0</v>
      </c>
      <c r="CH19" s="15"/>
      <c r="CI19" s="14"/>
      <c r="CJ19" s="14">
        <f t="shared" si="26"/>
        <v>0</v>
      </c>
      <c r="CK19" s="15"/>
      <c r="CL19" s="14"/>
      <c r="CM19" s="14">
        <f t="shared" si="27"/>
        <v>0</v>
      </c>
      <c r="CN19" s="15"/>
      <c r="CO19" s="14"/>
      <c r="CP19" s="14">
        <f t="shared" si="28"/>
        <v>0</v>
      </c>
      <c r="CQ19" s="15"/>
      <c r="CR19" s="14"/>
      <c r="CS19" s="14">
        <f t="shared" si="29"/>
        <v>0</v>
      </c>
      <c r="CT19" s="15"/>
      <c r="CU19" s="14"/>
      <c r="CV19" s="14">
        <f t="shared" si="30"/>
        <v>0</v>
      </c>
      <c r="CW19" s="15"/>
      <c r="CX19" s="14"/>
      <c r="CY19" s="14">
        <f t="shared" si="31"/>
        <v>0</v>
      </c>
      <c r="CZ19" s="15"/>
      <c r="DA19" s="14"/>
      <c r="DB19" s="14">
        <f t="shared" si="32"/>
        <v>0</v>
      </c>
      <c r="DC19" s="15"/>
      <c r="DD19" s="14"/>
      <c r="DE19" s="14">
        <f t="shared" si="33"/>
        <v>0</v>
      </c>
      <c r="DF19" s="15"/>
      <c r="DG19" s="14"/>
      <c r="DH19" s="14">
        <f t="shared" si="34"/>
        <v>0</v>
      </c>
      <c r="DI19" s="15"/>
      <c r="DJ19" s="14"/>
      <c r="DK19" s="14">
        <f t="shared" si="35"/>
        <v>0</v>
      </c>
      <c r="DL19" s="15"/>
      <c r="DM19" s="14"/>
      <c r="DN19" s="14">
        <f t="shared" si="36"/>
        <v>0</v>
      </c>
      <c r="DO19" s="15"/>
      <c r="DP19" s="14"/>
      <c r="DQ19" s="14">
        <f t="shared" si="37"/>
        <v>0</v>
      </c>
      <c r="DR19" s="15"/>
      <c r="DS19" s="14"/>
      <c r="DT19" s="14">
        <f t="shared" si="38"/>
        <v>0</v>
      </c>
      <c r="DU19" s="15"/>
      <c r="DV19" s="14"/>
      <c r="DW19" s="14">
        <f t="shared" si="39"/>
        <v>0</v>
      </c>
      <c r="DX19" s="17">
        <f t="shared" si="40"/>
        <v>4</v>
      </c>
      <c r="DY19" s="17">
        <f t="shared" si="41"/>
        <v>0</v>
      </c>
      <c r="DZ19" s="1"/>
      <c r="EA19" s="1"/>
    </row>
    <row r="20" spans="1:131" ht="57" customHeight="1" x14ac:dyDescent="0.3">
      <c r="A20" s="1"/>
      <c r="B20" s="31"/>
      <c r="C20" s="31"/>
      <c r="D20" s="20" t="s">
        <v>212</v>
      </c>
      <c r="E20" s="14" t="s">
        <v>43</v>
      </c>
      <c r="F20" s="14" t="s">
        <v>50</v>
      </c>
      <c r="G20" s="14" t="s">
        <v>214</v>
      </c>
      <c r="H20" s="14">
        <v>2</v>
      </c>
      <c r="I20" s="14"/>
      <c r="J20" s="14">
        <f t="shared" si="0"/>
        <v>2</v>
      </c>
      <c r="K20" s="15"/>
      <c r="L20" s="14"/>
      <c r="M20" s="14">
        <f t="shared" si="1"/>
        <v>2</v>
      </c>
      <c r="N20" s="15"/>
      <c r="O20" s="14"/>
      <c r="P20" s="14">
        <f t="shared" si="2"/>
        <v>2</v>
      </c>
      <c r="Q20" s="15"/>
      <c r="R20" s="14"/>
      <c r="S20" s="14">
        <f t="shared" si="3"/>
        <v>2</v>
      </c>
      <c r="T20" s="15"/>
      <c r="U20" s="14"/>
      <c r="V20" s="14">
        <f t="shared" si="4"/>
        <v>2</v>
      </c>
      <c r="W20" s="15"/>
      <c r="X20" s="14"/>
      <c r="Y20" s="14">
        <f t="shared" si="5"/>
        <v>2</v>
      </c>
      <c r="Z20" s="15"/>
      <c r="AA20" s="14"/>
      <c r="AB20" s="14">
        <f t="shared" si="6"/>
        <v>2</v>
      </c>
      <c r="AC20" s="15"/>
      <c r="AD20" s="14"/>
      <c r="AE20" s="14">
        <f t="shared" si="7"/>
        <v>2</v>
      </c>
      <c r="AF20" s="15"/>
      <c r="AG20" s="14"/>
      <c r="AH20" s="14">
        <f t="shared" si="8"/>
        <v>2</v>
      </c>
      <c r="AI20" s="15"/>
      <c r="AJ20" s="14"/>
      <c r="AK20" s="14">
        <f t="shared" si="9"/>
        <v>2</v>
      </c>
      <c r="AL20" s="15"/>
      <c r="AM20" s="14"/>
      <c r="AN20" s="14">
        <f t="shared" si="10"/>
        <v>2</v>
      </c>
      <c r="AO20" s="15"/>
      <c r="AP20" s="14"/>
      <c r="AQ20" s="14">
        <f t="shared" si="11"/>
        <v>2</v>
      </c>
      <c r="AR20" s="15"/>
      <c r="AS20" s="14"/>
      <c r="AT20" s="14">
        <f t="shared" si="12"/>
        <v>2</v>
      </c>
      <c r="AU20" s="15"/>
      <c r="AV20" s="14"/>
      <c r="AW20" s="14">
        <f t="shared" si="13"/>
        <v>2</v>
      </c>
      <c r="AX20" s="15"/>
      <c r="AY20" s="14"/>
      <c r="AZ20" s="14">
        <f t="shared" si="14"/>
        <v>2</v>
      </c>
      <c r="BA20" s="15"/>
      <c r="BB20" s="14"/>
      <c r="BC20" s="14">
        <f t="shared" si="15"/>
        <v>2</v>
      </c>
      <c r="BD20" s="15"/>
      <c r="BE20" s="14"/>
      <c r="BF20" s="14">
        <f t="shared" si="16"/>
        <v>2</v>
      </c>
      <c r="BG20" s="15"/>
      <c r="BH20" s="14"/>
      <c r="BI20" s="14">
        <f t="shared" si="17"/>
        <v>2</v>
      </c>
      <c r="BJ20" s="15"/>
      <c r="BK20" s="14"/>
      <c r="BL20" s="14">
        <f t="shared" si="18"/>
        <v>2</v>
      </c>
      <c r="BM20" s="15"/>
      <c r="BN20" s="14"/>
      <c r="BO20" s="14">
        <f t="shared" si="19"/>
        <v>2</v>
      </c>
      <c r="BP20" s="15"/>
      <c r="BQ20" s="14"/>
      <c r="BR20" s="14">
        <f t="shared" si="20"/>
        <v>2</v>
      </c>
      <c r="BS20" s="15"/>
      <c r="BT20" s="14"/>
      <c r="BU20" s="14">
        <f t="shared" si="21"/>
        <v>2</v>
      </c>
      <c r="BV20" s="15"/>
      <c r="BW20" s="14"/>
      <c r="BX20" s="14">
        <f t="shared" si="22"/>
        <v>2</v>
      </c>
      <c r="BY20" s="15"/>
      <c r="BZ20" s="14">
        <v>2</v>
      </c>
      <c r="CA20" s="14">
        <f t="shared" si="23"/>
        <v>0</v>
      </c>
      <c r="CB20" s="15"/>
      <c r="CC20" s="14"/>
      <c r="CD20" s="14">
        <f t="shared" si="24"/>
        <v>0</v>
      </c>
      <c r="CE20" s="15"/>
      <c r="CF20" s="14"/>
      <c r="CG20" s="14">
        <f t="shared" si="25"/>
        <v>0</v>
      </c>
      <c r="CH20" s="15"/>
      <c r="CI20" s="14"/>
      <c r="CJ20" s="14">
        <f t="shared" si="26"/>
        <v>0</v>
      </c>
      <c r="CK20" s="15"/>
      <c r="CL20" s="14"/>
      <c r="CM20" s="14">
        <f t="shared" si="27"/>
        <v>0</v>
      </c>
      <c r="CN20" s="15"/>
      <c r="CO20" s="14"/>
      <c r="CP20" s="14">
        <f t="shared" si="28"/>
        <v>0</v>
      </c>
      <c r="CQ20" s="15"/>
      <c r="CR20" s="14"/>
      <c r="CS20" s="14">
        <f t="shared" si="29"/>
        <v>0</v>
      </c>
      <c r="CT20" s="15"/>
      <c r="CU20" s="14"/>
      <c r="CV20" s="14">
        <f t="shared" si="30"/>
        <v>0</v>
      </c>
      <c r="CW20" s="15"/>
      <c r="CX20" s="14"/>
      <c r="CY20" s="14">
        <f t="shared" si="31"/>
        <v>0</v>
      </c>
      <c r="CZ20" s="15"/>
      <c r="DA20" s="14"/>
      <c r="DB20" s="14">
        <f t="shared" si="32"/>
        <v>0</v>
      </c>
      <c r="DC20" s="15"/>
      <c r="DD20" s="14"/>
      <c r="DE20" s="14">
        <f t="shared" si="33"/>
        <v>0</v>
      </c>
      <c r="DF20" s="15"/>
      <c r="DG20" s="14"/>
      <c r="DH20" s="14">
        <f t="shared" si="34"/>
        <v>0</v>
      </c>
      <c r="DI20" s="15"/>
      <c r="DJ20" s="14"/>
      <c r="DK20" s="14">
        <f t="shared" si="35"/>
        <v>0</v>
      </c>
      <c r="DL20" s="15"/>
      <c r="DM20" s="14"/>
      <c r="DN20" s="14">
        <f t="shared" si="36"/>
        <v>0</v>
      </c>
      <c r="DO20" s="15"/>
      <c r="DP20" s="14"/>
      <c r="DQ20" s="14">
        <f t="shared" si="37"/>
        <v>0</v>
      </c>
      <c r="DR20" s="15"/>
      <c r="DS20" s="14"/>
      <c r="DT20" s="14">
        <f t="shared" si="38"/>
        <v>0</v>
      </c>
      <c r="DU20" s="15"/>
      <c r="DV20" s="14"/>
      <c r="DW20" s="14">
        <f t="shared" si="39"/>
        <v>0</v>
      </c>
      <c r="DX20" s="17">
        <f t="shared" si="40"/>
        <v>2</v>
      </c>
      <c r="DY20" s="17">
        <f t="shared" si="41"/>
        <v>0</v>
      </c>
      <c r="DZ20" s="1"/>
      <c r="EA20" s="1"/>
    </row>
    <row r="21" spans="1:131" ht="57" customHeight="1" x14ac:dyDescent="0.3">
      <c r="A21" s="1"/>
      <c r="B21" s="31"/>
      <c r="C21" s="31"/>
      <c r="D21" s="20" t="s">
        <v>219</v>
      </c>
      <c r="E21" s="14" t="s">
        <v>49</v>
      </c>
      <c r="F21" s="14" t="s">
        <v>50</v>
      </c>
      <c r="G21" s="14" t="s">
        <v>220</v>
      </c>
      <c r="H21" s="14">
        <v>2</v>
      </c>
      <c r="I21" s="14"/>
      <c r="J21" s="14">
        <f t="shared" si="0"/>
        <v>2</v>
      </c>
      <c r="K21" s="15"/>
      <c r="L21" s="14"/>
      <c r="M21" s="14">
        <f t="shared" si="1"/>
        <v>2</v>
      </c>
      <c r="N21" s="15"/>
      <c r="O21" s="14"/>
      <c r="P21" s="14">
        <f t="shared" si="2"/>
        <v>2</v>
      </c>
      <c r="Q21" s="15"/>
      <c r="R21" s="14"/>
      <c r="S21" s="14">
        <f t="shared" si="3"/>
        <v>2</v>
      </c>
      <c r="T21" s="15"/>
      <c r="U21" s="14"/>
      <c r="V21" s="14">
        <f t="shared" si="4"/>
        <v>2</v>
      </c>
      <c r="W21" s="15"/>
      <c r="X21" s="14"/>
      <c r="Y21" s="14">
        <f t="shared" si="5"/>
        <v>2</v>
      </c>
      <c r="Z21" s="15"/>
      <c r="AA21" s="14"/>
      <c r="AB21" s="14">
        <f t="shared" si="6"/>
        <v>2</v>
      </c>
      <c r="AC21" s="15"/>
      <c r="AD21" s="14"/>
      <c r="AE21" s="14">
        <f t="shared" si="7"/>
        <v>2</v>
      </c>
      <c r="AF21" s="15"/>
      <c r="AG21" s="14"/>
      <c r="AH21" s="14">
        <f t="shared" si="8"/>
        <v>2</v>
      </c>
      <c r="AI21" s="15"/>
      <c r="AJ21" s="14"/>
      <c r="AK21" s="14">
        <f t="shared" si="9"/>
        <v>2</v>
      </c>
      <c r="AL21" s="15"/>
      <c r="AM21" s="14"/>
      <c r="AN21" s="14">
        <f t="shared" si="10"/>
        <v>2</v>
      </c>
      <c r="AO21" s="15"/>
      <c r="AP21" s="14"/>
      <c r="AQ21" s="14">
        <f t="shared" si="11"/>
        <v>2</v>
      </c>
      <c r="AR21" s="15"/>
      <c r="AS21" s="14"/>
      <c r="AT21" s="14">
        <f t="shared" si="12"/>
        <v>2</v>
      </c>
      <c r="AU21" s="15"/>
      <c r="AV21" s="14"/>
      <c r="AW21" s="14">
        <f t="shared" si="13"/>
        <v>2</v>
      </c>
      <c r="AX21" s="15"/>
      <c r="AY21" s="14"/>
      <c r="AZ21" s="14">
        <f t="shared" si="14"/>
        <v>2</v>
      </c>
      <c r="BA21" s="15"/>
      <c r="BB21" s="14"/>
      <c r="BC21" s="14">
        <f t="shared" si="15"/>
        <v>2</v>
      </c>
      <c r="BD21" s="15"/>
      <c r="BE21" s="14"/>
      <c r="BF21" s="14">
        <f t="shared" si="16"/>
        <v>2</v>
      </c>
      <c r="BG21" s="15"/>
      <c r="BH21" s="14"/>
      <c r="BI21" s="14">
        <f t="shared" si="17"/>
        <v>2</v>
      </c>
      <c r="BJ21" s="15"/>
      <c r="BK21" s="14"/>
      <c r="BL21" s="14">
        <f t="shared" si="18"/>
        <v>2</v>
      </c>
      <c r="BM21" s="15"/>
      <c r="BN21" s="14"/>
      <c r="BO21" s="14">
        <f t="shared" si="19"/>
        <v>2</v>
      </c>
      <c r="BP21" s="15"/>
      <c r="BQ21" s="14"/>
      <c r="BR21" s="14">
        <f t="shared" si="20"/>
        <v>2</v>
      </c>
      <c r="BS21" s="15"/>
      <c r="BT21" s="14"/>
      <c r="BU21" s="14">
        <f t="shared" si="21"/>
        <v>2</v>
      </c>
      <c r="BV21" s="15"/>
      <c r="BW21" s="14"/>
      <c r="BX21" s="14">
        <f t="shared" si="22"/>
        <v>2</v>
      </c>
      <c r="BY21" s="15"/>
      <c r="BZ21" s="14">
        <v>2</v>
      </c>
      <c r="CA21" s="14">
        <f t="shared" si="23"/>
        <v>0</v>
      </c>
      <c r="CB21" s="15"/>
      <c r="CC21" s="14"/>
      <c r="CD21" s="14">
        <f t="shared" si="24"/>
        <v>0</v>
      </c>
      <c r="CE21" s="15"/>
      <c r="CF21" s="14"/>
      <c r="CG21" s="14">
        <f t="shared" si="25"/>
        <v>0</v>
      </c>
      <c r="CH21" s="15"/>
      <c r="CI21" s="14"/>
      <c r="CJ21" s="14">
        <f t="shared" si="26"/>
        <v>0</v>
      </c>
      <c r="CK21" s="15"/>
      <c r="CL21" s="14"/>
      <c r="CM21" s="14">
        <f t="shared" si="27"/>
        <v>0</v>
      </c>
      <c r="CN21" s="15"/>
      <c r="CO21" s="14"/>
      <c r="CP21" s="14">
        <f t="shared" si="28"/>
        <v>0</v>
      </c>
      <c r="CQ21" s="15"/>
      <c r="CR21" s="14"/>
      <c r="CS21" s="14">
        <f t="shared" si="29"/>
        <v>0</v>
      </c>
      <c r="CT21" s="15"/>
      <c r="CU21" s="14"/>
      <c r="CV21" s="14">
        <f t="shared" si="30"/>
        <v>0</v>
      </c>
      <c r="CW21" s="15"/>
      <c r="CX21" s="14"/>
      <c r="CY21" s="14">
        <f t="shared" si="31"/>
        <v>0</v>
      </c>
      <c r="CZ21" s="15"/>
      <c r="DA21" s="14"/>
      <c r="DB21" s="14">
        <f t="shared" si="32"/>
        <v>0</v>
      </c>
      <c r="DC21" s="15"/>
      <c r="DD21" s="14"/>
      <c r="DE21" s="14">
        <f t="shared" si="33"/>
        <v>0</v>
      </c>
      <c r="DF21" s="15"/>
      <c r="DG21" s="14"/>
      <c r="DH21" s="14">
        <f t="shared" si="34"/>
        <v>0</v>
      </c>
      <c r="DI21" s="15"/>
      <c r="DJ21" s="14"/>
      <c r="DK21" s="14">
        <f t="shared" si="35"/>
        <v>0</v>
      </c>
      <c r="DL21" s="15"/>
      <c r="DM21" s="14"/>
      <c r="DN21" s="14">
        <f t="shared" si="36"/>
        <v>0</v>
      </c>
      <c r="DO21" s="15"/>
      <c r="DP21" s="14"/>
      <c r="DQ21" s="14">
        <f t="shared" si="37"/>
        <v>0</v>
      </c>
      <c r="DR21" s="15"/>
      <c r="DS21" s="14"/>
      <c r="DT21" s="14">
        <f t="shared" si="38"/>
        <v>0</v>
      </c>
      <c r="DU21" s="15"/>
      <c r="DV21" s="14"/>
      <c r="DW21" s="14">
        <f t="shared" si="39"/>
        <v>0</v>
      </c>
      <c r="DX21" s="17">
        <f t="shared" si="40"/>
        <v>2</v>
      </c>
      <c r="DY21" s="17">
        <f t="shared" si="41"/>
        <v>0</v>
      </c>
      <c r="DZ21" s="1"/>
      <c r="EA21" s="1"/>
    </row>
    <row r="22" spans="1:131" ht="44.25" customHeight="1" x14ac:dyDescent="0.3">
      <c r="A22" s="1"/>
      <c r="B22" s="32"/>
      <c r="C22" s="32"/>
      <c r="D22" s="12" t="s">
        <v>221</v>
      </c>
      <c r="E22" s="14" t="s">
        <v>49</v>
      </c>
      <c r="F22" s="14" t="s">
        <v>50</v>
      </c>
      <c r="G22" s="14" t="s">
        <v>222</v>
      </c>
      <c r="H22" s="14">
        <v>2</v>
      </c>
      <c r="I22" s="14"/>
      <c r="J22" s="14">
        <f t="shared" si="0"/>
        <v>2</v>
      </c>
      <c r="K22" s="15"/>
      <c r="L22" s="14"/>
      <c r="M22" s="14">
        <f t="shared" si="1"/>
        <v>2</v>
      </c>
      <c r="N22" s="15"/>
      <c r="O22" s="14"/>
      <c r="P22" s="14">
        <f t="shared" si="2"/>
        <v>2</v>
      </c>
      <c r="Q22" s="15"/>
      <c r="R22" s="14"/>
      <c r="S22" s="14">
        <f t="shared" si="3"/>
        <v>2</v>
      </c>
      <c r="T22" s="15"/>
      <c r="U22" s="14"/>
      <c r="V22" s="14">
        <f t="shared" si="4"/>
        <v>2</v>
      </c>
      <c r="W22" s="15"/>
      <c r="X22" s="14"/>
      <c r="Y22" s="14">
        <f t="shared" si="5"/>
        <v>2</v>
      </c>
      <c r="Z22" s="15"/>
      <c r="AA22" s="14"/>
      <c r="AB22" s="14">
        <f t="shared" si="6"/>
        <v>2</v>
      </c>
      <c r="AC22" s="15"/>
      <c r="AD22" s="14"/>
      <c r="AE22" s="14">
        <f t="shared" si="7"/>
        <v>2</v>
      </c>
      <c r="AF22" s="15"/>
      <c r="AG22" s="14"/>
      <c r="AH22" s="14">
        <f t="shared" si="8"/>
        <v>2</v>
      </c>
      <c r="AI22" s="15"/>
      <c r="AJ22" s="14"/>
      <c r="AK22" s="14">
        <f t="shared" si="9"/>
        <v>2</v>
      </c>
      <c r="AL22" s="15"/>
      <c r="AM22" s="14"/>
      <c r="AN22" s="14">
        <f t="shared" si="10"/>
        <v>2</v>
      </c>
      <c r="AO22" s="15"/>
      <c r="AP22" s="14"/>
      <c r="AQ22" s="14">
        <f t="shared" si="11"/>
        <v>2</v>
      </c>
      <c r="AR22" s="15"/>
      <c r="AS22" s="14"/>
      <c r="AT22" s="14">
        <f t="shared" si="12"/>
        <v>2</v>
      </c>
      <c r="AU22" s="15"/>
      <c r="AV22" s="14"/>
      <c r="AW22" s="14">
        <f t="shared" si="13"/>
        <v>2</v>
      </c>
      <c r="AX22" s="15"/>
      <c r="AY22" s="14"/>
      <c r="AZ22" s="14">
        <f t="shared" si="14"/>
        <v>2</v>
      </c>
      <c r="BA22" s="15"/>
      <c r="BB22" s="14"/>
      <c r="BC22" s="14">
        <f t="shared" si="15"/>
        <v>2</v>
      </c>
      <c r="BD22" s="15"/>
      <c r="BE22" s="14"/>
      <c r="BF22" s="14">
        <f t="shared" si="16"/>
        <v>2</v>
      </c>
      <c r="BG22" s="15"/>
      <c r="BH22" s="14"/>
      <c r="BI22" s="14">
        <f t="shared" si="17"/>
        <v>2</v>
      </c>
      <c r="BJ22" s="15"/>
      <c r="BK22" s="14"/>
      <c r="BL22" s="14">
        <f t="shared" si="18"/>
        <v>2</v>
      </c>
      <c r="BM22" s="15"/>
      <c r="BN22" s="14"/>
      <c r="BO22" s="14">
        <f t="shared" si="19"/>
        <v>2</v>
      </c>
      <c r="BP22" s="15"/>
      <c r="BQ22" s="14"/>
      <c r="BR22" s="14">
        <f t="shared" si="20"/>
        <v>2</v>
      </c>
      <c r="BS22" s="15"/>
      <c r="BT22" s="14"/>
      <c r="BU22" s="14">
        <f t="shared" si="21"/>
        <v>2</v>
      </c>
      <c r="BV22" s="15"/>
      <c r="BW22" s="14"/>
      <c r="BX22" s="14">
        <f t="shared" si="22"/>
        <v>2</v>
      </c>
      <c r="BY22" s="15"/>
      <c r="BZ22" s="14">
        <v>2</v>
      </c>
      <c r="CA22" s="14">
        <f t="shared" si="23"/>
        <v>0</v>
      </c>
      <c r="CB22" s="15"/>
      <c r="CC22" s="14"/>
      <c r="CD22" s="14">
        <f t="shared" si="24"/>
        <v>0</v>
      </c>
      <c r="CE22" s="15"/>
      <c r="CF22" s="14"/>
      <c r="CG22" s="14">
        <f t="shared" si="25"/>
        <v>0</v>
      </c>
      <c r="CH22" s="15"/>
      <c r="CI22" s="14"/>
      <c r="CJ22" s="14">
        <f t="shared" si="26"/>
        <v>0</v>
      </c>
      <c r="CK22" s="15"/>
      <c r="CL22" s="14"/>
      <c r="CM22" s="14">
        <f t="shared" si="27"/>
        <v>0</v>
      </c>
      <c r="CN22" s="15"/>
      <c r="CO22" s="14"/>
      <c r="CP22" s="14">
        <f t="shared" si="28"/>
        <v>0</v>
      </c>
      <c r="CQ22" s="15"/>
      <c r="CR22" s="14"/>
      <c r="CS22" s="14">
        <f t="shared" si="29"/>
        <v>0</v>
      </c>
      <c r="CT22" s="15"/>
      <c r="CU22" s="14"/>
      <c r="CV22" s="14">
        <f t="shared" si="30"/>
        <v>0</v>
      </c>
      <c r="CW22" s="15"/>
      <c r="CX22" s="14"/>
      <c r="CY22" s="14">
        <f t="shared" si="31"/>
        <v>0</v>
      </c>
      <c r="CZ22" s="15"/>
      <c r="DA22" s="14"/>
      <c r="DB22" s="14">
        <f t="shared" si="32"/>
        <v>0</v>
      </c>
      <c r="DC22" s="15"/>
      <c r="DD22" s="14"/>
      <c r="DE22" s="14">
        <f t="shared" si="33"/>
        <v>0</v>
      </c>
      <c r="DF22" s="15"/>
      <c r="DG22" s="14"/>
      <c r="DH22" s="14">
        <f t="shared" si="34"/>
        <v>0</v>
      </c>
      <c r="DI22" s="15"/>
      <c r="DJ22" s="14"/>
      <c r="DK22" s="14">
        <f t="shared" si="35"/>
        <v>0</v>
      </c>
      <c r="DL22" s="15"/>
      <c r="DM22" s="14"/>
      <c r="DN22" s="14">
        <f t="shared" si="36"/>
        <v>0</v>
      </c>
      <c r="DO22" s="15"/>
      <c r="DP22" s="14"/>
      <c r="DQ22" s="14">
        <f t="shared" si="37"/>
        <v>0</v>
      </c>
      <c r="DR22" s="15"/>
      <c r="DS22" s="14"/>
      <c r="DT22" s="14">
        <f t="shared" si="38"/>
        <v>0</v>
      </c>
      <c r="DU22" s="15"/>
      <c r="DV22" s="14"/>
      <c r="DW22" s="14">
        <f t="shared" si="39"/>
        <v>0</v>
      </c>
      <c r="DX22" s="17">
        <f t="shared" si="40"/>
        <v>2</v>
      </c>
      <c r="DY22" s="17">
        <f t="shared" si="41"/>
        <v>0</v>
      </c>
      <c r="DZ22" s="1"/>
      <c r="EA22" s="1"/>
    </row>
    <row r="23" spans="1:131" ht="15.75" customHeight="1" x14ac:dyDescent="0.3">
      <c r="A23" s="1"/>
      <c r="B23" s="38" t="s">
        <v>223</v>
      </c>
      <c r="C23" s="30" t="s">
        <v>224</v>
      </c>
      <c r="D23" s="20" t="s">
        <v>225</v>
      </c>
      <c r="E23" s="14" t="s">
        <v>43</v>
      </c>
      <c r="F23" s="14" t="s">
        <v>50</v>
      </c>
      <c r="G23" s="14" t="s">
        <v>45</v>
      </c>
      <c r="H23" s="14">
        <v>6</v>
      </c>
      <c r="I23" s="14"/>
      <c r="J23" s="14">
        <f t="shared" si="0"/>
        <v>6</v>
      </c>
      <c r="K23" s="15"/>
      <c r="L23" s="14"/>
      <c r="M23" s="14">
        <f t="shared" si="1"/>
        <v>6</v>
      </c>
      <c r="N23" s="15"/>
      <c r="O23" s="14"/>
      <c r="P23" s="14">
        <f t="shared" si="2"/>
        <v>6</v>
      </c>
      <c r="Q23" s="15"/>
      <c r="R23" s="14"/>
      <c r="S23" s="14">
        <f t="shared" si="3"/>
        <v>6</v>
      </c>
      <c r="T23" s="15"/>
      <c r="U23" s="14"/>
      <c r="V23" s="14">
        <f t="shared" si="4"/>
        <v>6</v>
      </c>
      <c r="W23" s="15"/>
      <c r="X23" s="14"/>
      <c r="Y23" s="14">
        <f t="shared" si="5"/>
        <v>6</v>
      </c>
      <c r="Z23" s="15"/>
      <c r="AA23" s="14"/>
      <c r="AB23" s="14">
        <f t="shared" si="6"/>
        <v>6</v>
      </c>
      <c r="AC23" s="15"/>
      <c r="AD23" s="14"/>
      <c r="AE23" s="14">
        <f t="shared" si="7"/>
        <v>6</v>
      </c>
      <c r="AF23" s="15"/>
      <c r="AG23" s="14"/>
      <c r="AH23" s="14">
        <f t="shared" si="8"/>
        <v>6</v>
      </c>
      <c r="AI23" s="15"/>
      <c r="AJ23" s="14"/>
      <c r="AK23" s="14">
        <f t="shared" si="9"/>
        <v>6</v>
      </c>
      <c r="AL23" s="15"/>
      <c r="AM23" s="14"/>
      <c r="AN23" s="14">
        <f t="shared" si="10"/>
        <v>6</v>
      </c>
      <c r="AO23" s="15"/>
      <c r="AP23" s="14"/>
      <c r="AQ23" s="14">
        <f t="shared" si="11"/>
        <v>6</v>
      </c>
      <c r="AR23" s="15"/>
      <c r="AS23" s="14"/>
      <c r="AT23" s="14">
        <f t="shared" si="12"/>
        <v>6</v>
      </c>
      <c r="AU23" s="15"/>
      <c r="AV23" s="14"/>
      <c r="AW23" s="14">
        <f t="shared" si="13"/>
        <v>6</v>
      </c>
      <c r="AX23" s="15"/>
      <c r="AY23" s="14"/>
      <c r="AZ23" s="14">
        <f t="shared" si="14"/>
        <v>6</v>
      </c>
      <c r="BA23" s="15"/>
      <c r="BB23" s="14"/>
      <c r="BC23" s="14">
        <f t="shared" si="15"/>
        <v>6</v>
      </c>
      <c r="BD23" s="15"/>
      <c r="BE23" s="14"/>
      <c r="BF23" s="14">
        <f t="shared" si="16"/>
        <v>6</v>
      </c>
      <c r="BG23" s="15"/>
      <c r="BH23" s="14"/>
      <c r="BI23" s="14">
        <f t="shared" si="17"/>
        <v>6</v>
      </c>
      <c r="BJ23" s="15"/>
      <c r="BK23" s="14"/>
      <c r="BL23" s="14">
        <f t="shared" si="18"/>
        <v>6</v>
      </c>
      <c r="BM23" s="15"/>
      <c r="BN23" s="14"/>
      <c r="BO23" s="14">
        <f t="shared" si="19"/>
        <v>6</v>
      </c>
      <c r="BP23" s="15"/>
      <c r="BQ23" s="14"/>
      <c r="BR23" s="14">
        <f t="shared" si="20"/>
        <v>6</v>
      </c>
      <c r="BS23" s="15"/>
      <c r="BT23" s="14"/>
      <c r="BU23" s="14">
        <f t="shared" si="21"/>
        <v>6</v>
      </c>
      <c r="BV23" s="15"/>
      <c r="BW23" s="14"/>
      <c r="BX23" s="14">
        <f t="shared" si="22"/>
        <v>6</v>
      </c>
      <c r="BY23" s="15"/>
      <c r="BZ23" s="14"/>
      <c r="CA23" s="14">
        <f t="shared" si="23"/>
        <v>6</v>
      </c>
      <c r="CB23" s="15"/>
      <c r="CC23" s="14"/>
      <c r="CD23" s="14">
        <f t="shared" si="24"/>
        <v>6</v>
      </c>
      <c r="CE23" s="15"/>
      <c r="CF23" s="14"/>
      <c r="CG23" s="14">
        <f t="shared" si="25"/>
        <v>6</v>
      </c>
      <c r="CH23" s="15"/>
      <c r="CI23" s="14"/>
      <c r="CJ23" s="14">
        <f t="shared" si="26"/>
        <v>6</v>
      </c>
      <c r="CK23" s="15"/>
      <c r="CL23" s="14"/>
      <c r="CM23" s="14">
        <f t="shared" si="27"/>
        <v>6</v>
      </c>
      <c r="CN23" s="15"/>
      <c r="CO23" s="14"/>
      <c r="CP23" s="14">
        <f t="shared" si="28"/>
        <v>6</v>
      </c>
      <c r="CQ23" s="15"/>
      <c r="CR23" s="14"/>
      <c r="CS23" s="14">
        <f t="shared" si="29"/>
        <v>6</v>
      </c>
      <c r="CT23" s="15"/>
      <c r="CU23" s="14"/>
      <c r="CV23" s="14">
        <f t="shared" si="30"/>
        <v>6</v>
      </c>
      <c r="CW23" s="15"/>
      <c r="CX23" s="14"/>
      <c r="CY23" s="14">
        <f t="shared" si="31"/>
        <v>6</v>
      </c>
      <c r="CZ23" s="15"/>
      <c r="DA23" s="14">
        <v>6</v>
      </c>
      <c r="DB23" s="14">
        <f t="shared" si="32"/>
        <v>0</v>
      </c>
      <c r="DC23" s="15"/>
      <c r="DD23" s="14"/>
      <c r="DE23" s="14">
        <f t="shared" si="33"/>
        <v>0</v>
      </c>
      <c r="DF23" s="15"/>
      <c r="DG23" s="14"/>
      <c r="DH23" s="14">
        <f t="shared" si="34"/>
        <v>0</v>
      </c>
      <c r="DI23" s="15"/>
      <c r="DJ23" s="14"/>
      <c r="DK23" s="14">
        <f t="shared" si="35"/>
        <v>0</v>
      </c>
      <c r="DL23" s="15"/>
      <c r="DM23" s="14"/>
      <c r="DN23" s="14">
        <f t="shared" si="36"/>
        <v>0</v>
      </c>
      <c r="DO23" s="15"/>
      <c r="DP23" s="14"/>
      <c r="DQ23" s="14">
        <f t="shared" si="37"/>
        <v>0</v>
      </c>
      <c r="DR23" s="15"/>
      <c r="DS23" s="14"/>
      <c r="DT23" s="14">
        <f t="shared" si="38"/>
        <v>0</v>
      </c>
      <c r="DU23" s="15"/>
      <c r="DV23" s="14"/>
      <c r="DW23" s="14">
        <f t="shared" si="39"/>
        <v>0</v>
      </c>
      <c r="DX23" s="17">
        <f t="shared" si="40"/>
        <v>6</v>
      </c>
      <c r="DY23" s="17">
        <f t="shared" si="41"/>
        <v>0</v>
      </c>
      <c r="DZ23" s="1"/>
      <c r="EA23" s="1"/>
    </row>
    <row r="24" spans="1:131" ht="30" customHeight="1" x14ac:dyDescent="0.3">
      <c r="A24" s="1"/>
      <c r="B24" s="31"/>
      <c r="C24" s="31"/>
      <c r="D24" s="20" t="s">
        <v>226</v>
      </c>
      <c r="E24" s="14" t="s">
        <v>49</v>
      </c>
      <c r="F24" s="14" t="s">
        <v>50</v>
      </c>
      <c r="G24" s="14" t="s">
        <v>227</v>
      </c>
      <c r="H24" s="14">
        <v>4</v>
      </c>
      <c r="I24" s="14"/>
      <c r="J24" s="14">
        <f t="shared" si="0"/>
        <v>4</v>
      </c>
      <c r="K24" s="15"/>
      <c r="L24" s="14"/>
      <c r="M24" s="14">
        <f t="shared" si="1"/>
        <v>4</v>
      </c>
      <c r="N24" s="15"/>
      <c r="O24" s="14"/>
      <c r="P24" s="14">
        <f t="shared" si="2"/>
        <v>4</v>
      </c>
      <c r="Q24" s="15"/>
      <c r="R24" s="14"/>
      <c r="S24" s="14">
        <f t="shared" si="3"/>
        <v>4</v>
      </c>
      <c r="T24" s="15"/>
      <c r="U24" s="14"/>
      <c r="V24" s="14">
        <f t="shared" si="4"/>
        <v>4</v>
      </c>
      <c r="W24" s="15"/>
      <c r="X24" s="14"/>
      <c r="Y24" s="14">
        <f t="shared" si="5"/>
        <v>4</v>
      </c>
      <c r="Z24" s="15"/>
      <c r="AA24" s="14"/>
      <c r="AB24" s="14">
        <f t="shared" si="6"/>
        <v>4</v>
      </c>
      <c r="AC24" s="15"/>
      <c r="AD24" s="14"/>
      <c r="AE24" s="14">
        <f t="shared" si="7"/>
        <v>4</v>
      </c>
      <c r="AF24" s="15"/>
      <c r="AG24" s="14"/>
      <c r="AH24" s="14">
        <f t="shared" si="8"/>
        <v>4</v>
      </c>
      <c r="AI24" s="15"/>
      <c r="AJ24" s="14"/>
      <c r="AK24" s="14">
        <f t="shared" si="9"/>
        <v>4</v>
      </c>
      <c r="AL24" s="15"/>
      <c r="AM24" s="14"/>
      <c r="AN24" s="14">
        <f t="shared" si="10"/>
        <v>4</v>
      </c>
      <c r="AO24" s="15"/>
      <c r="AP24" s="14"/>
      <c r="AQ24" s="14">
        <f t="shared" si="11"/>
        <v>4</v>
      </c>
      <c r="AR24" s="15"/>
      <c r="AS24" s="14"/>
      <c r="AT24" s="14">
        <f t="shared" si="12"/>
        <v>4</v>
      </c>
      <c r="AU24" s="15"/>
      <c r="AV24" s="14"/>
      <c r="AW24" s="14">
        <f t="shared" si="13"/>
        <v>4</v>
      </c>
      <c r="AX24" s="15"/>
      <c r="AY24" s="14"/>
      <c r="AZ24" s="14">
        <f t="shared" si="14"/>
        <v>4</v>
      </c>
      <c r="BA24" s="15"/>
      <c r="BB24" s="14"/>
      <c r="BC24" s="14">
        <f t="shared" si="15"/>
        <v>4</v>
      </c>
      <c r="BD24" s="15"/>
      <c r="BE24" s="14"/>
      <c r="BF24" s="14">
        <f t="shared" si="16"/>
        <v>4</v>
      </c>
      <c r="BG24" s="15"/>
      <c r="BH24" s="14"/>
      <c r="BI24" s="14">
        <f t="shared" si="17"/>
        <v>4</v>
      </c>
      <c r="BJ24" s="15"/>
      <c r="BK24" s="14"/>
      <c r="BL24" s="14">
        <f t="shared" si="18"/>
        <v>4</v>
      </c>
      <c r="BM24" s="15"/>
      <c r="BN24" s="14"/>
      <c r="BO24" s="14">
        <f t="shared" si="19"/>
        <v>4</v>
      </c>
      <c r="BP24" s="15"/>
      <c r="BQ24" s="14"/>
      <c r="BR24" s="14">
        <f t="shared" si="20"/>
        <v>4</v>
      </c>
      <c r="BS24" s="15"/>
      <c r="BT24" s="14"/>
      <c r="BU24" s="14">
        <f t="shared" si="21"/>
        <v>4</v>
      </c>
      <c r="BV24" s="15"/>
      <c r="BW24" s="14"/>
      <c r="BX24" s="14">
        <f t="shared" si="22"/>
        <v>4</v>
      </c>
      <c r="BY24" s="15"/>
      <c r="BZ24" s="14"/>
      <c r="CA24" s="14">
        <f t="shared" si="23"/>
        <v>4</v>
      </c>
      <c r="CB24" s="15"/>
      <c r="CC24" s="14"/>
      <c r="CD24" s="14">
        <f t="shared" si="24"/>
        <v>4</v>
      </c>
      <c r="CE24" s="15"/>
      <c r="CF24" s="14">
        <v>2</v>
      </c>
      <c r="CG24" s="14">
        <f t="shared" si="25"/>
        <v>2</v>
      </c>
      <c r="CH24" s="15"/>
      <c r="CI24" s="14">
        <v>1</v>
      </c>
      <c r="CJ24" s="14">
        <f t="shared" si="26"/>
        <v>1</v>
      </c>
      <c r="CK24" s="15"/>
      <c r="CL24" s="14"/>
      <c r="CM24" s="14">
        <f t="shared" si="27"/>
        <v>1</v>
      </c>
      <c r="CN24" s="15"/>
      <c r="CO24" s="14"/>
      <c r="CP24" s="14">
        <f t="shared" si="28"/>
        <v>1</v>
      </c>
      <c r="CQ24" s="15"/>
      <c r="CR24" s="14"/>
      <c r="CS24" s="14">
        <f t="shared" si="29"/>
        <v>1</v>
      </c>
      <c r="CT24" s="15"/>
      <c r="CU24" s="14"/>
      <c r="CV24" s="14">
        <f t="shared" si="30"/>
        <v>1</v>
      </c>
      <c r="CW24" s="15"/>
      <c r="CX24" s="14"/>
      <c r="CY24" s="14">
        <f t="shared" si="31"/>
        <v>1</v>
      </c>
      <c r="CZ24" s="15"/>
      <c r="DA24" s="14">
        <v>1</v>
      </c>
      <c r="DB24" s="14">
        <f t="shared" si="32"/>
        <v>0</v>
      </c>
      <c r="DC24" s="15"/>
      <c r="DD24" s="14"/>
      <c r="DE24" s="14">
        <f t="shared" si="33"/>
        <v>0</v>
      </c>
      <c r="DF24" s="15"/>
      <c r="DG24" s="14"/>
      <c r="DH24" s="14">
        <f t="shared" si="34"/>
        <v>0</v>
      </c>
      <c r="DI24" s="15"/>
      <c r="DJ24" s="14"/>
      <c r="DK24" s="14">
        <f t="shared" si="35"/>
        <v>0</v>
      </c>
      <c r="DL24" s="15"/>
      <c r="DM24" s="14"/>
      <c r="DN24" s="14">
        <f t="shared" si="36"/>
        <v>0</v>
      </c>
      <c r="DO24" s="15"/>
      <c r="DP24" s="14"/>
      <c r="DQ24" s="14">
        <f t="shared" si="37"/>
        <v>0</v>
      </c>
      <c r="DR24" s="15"/>
      <c r="DS24" s="14"/>
      <c r="DT24" s="14">
        <f t="shared" si="38"/>
        <v>0</v>
      </c>
      <c r="DU24" s="15"/>
      <c r="DV24" s="14"/>
      <c r="DW24" s="14">
        <f t="shared" si="39"/>
        <v>0</v>
      </c>
      <c r="DX24" s="17">
        <f t="shared" si="40"/>
        <v>4</v>
      </c>
      <c r="DY24" s="17">
        <f t="shared" si="41"/>
        <v>0</v>
      </c>
      <c r="DZ24" s="1"/>
      <c r="EA24" s="1"/>
    </row>
    <row r="25" spans="1:131" ht="34.5" customHeight="1" x14ac:dyDescent="0.3">
      <c r="A25" s="1"/>
      <c r="B25" s="31"/>
      <c r="C25" s="31"/>
      <c r="D25" s="20" t="s">
        <v>228</v>
      </c>
      <c r="E25" s="14" t="s">
        <v>43</v>
      </c>
      <c r="F25" s="14" t="s">
        <v>50</v>
      </c>
      <c r="G25" s="14" t="s">
        <v>229</v>
      </c>
      <c r="H25" s="14">
        <v>2</v>
      </c>
      <c r="I25" s="14"/>
      <c r="J25" s="14">
        <f t="shared" si="0"/>
        <v>2</v>
      </c>
      <c r="K25" s="15"/>
      <c r="L25" s="14"/>
      <c r="M25" s="14">
        <f t="shared" si="1"/>
        <v>2</v>
      </c>
      <c r="N25" s="15"/>
      <c r="O25" s="14"/>
      <c r="P25" s="14">
        <f t="shared" si="2"/>
        <v>2</v>
      </c>
      <c r="Q25" s="15"/>
      <c r="R25" s="14"/>
      <c r="S25" s="14">
        <f t="shared" si="3"/>
        <v>2</v>
      </c>
      <c r="T25" s="15"/>
      <c r="U25" s="14"/>
      <c r="V25" s="14">
        <f t="shared" si="4"/>
        <v>2</v>
      </c>
      <c r="W25" s="15"/>
      <c r="X25" s="14"/>
      <c r="Y25" s="14">
        <f t="shared" si="5"/>
        <v>2</v>
      </c>
      <c r="Z25" s="15"/>
      <c r="AA25" s="14"/>
      <c r="AB25" s="14">
        <f t="shared" si="6"/>
        <v>2</v>
      </c>
      <c r="AC25" s="15"/>
      <c r="AD25" s="14"/>
      <c r="AE25" s="14">
        <f t="shared" si="7"/>
        <v>2</v>
      </c>
      <c r="AF25" s="15"/>
      <c r="AG25" s="14"/>
      <c r="AH25" s="14">
        <f t="shared" si="8"/>
        <v>2</v>
      </c>
      <c r="AI25" s="15"/>
      <c r="AJ25" s="14"/>
      <c r="AK25" s="14">
        <f t="shared" si="9"/>
        <v>2</v>
      </c>
      <c r="AL25" s="15"/>
      <c r="AM25" s="14"/>
      <c r="AN25" s="14">
        <f t="shared" si="10"/>
        <v>2</v>
      </c>
      <c r="AO25" s="15"/>
      <c r="AP25" s="14"/>
      <c r="AQ25" s="14">
        <f t="shared" si="11"/>
        <v>2</v>
      </c>
      <c r="AR25" s="15"/>
      <c r="AS25" s="14"/>
      <c r="AT25" s="14">
        <f t="shared" si="12"/>
        <v>2</v>
      </c>
      <c r="AU25" s="15"/>
      <c r="AV25" s="14"/>
      <c r="AW25" s="14">
        <f t="shared" si="13"/>
        <v>2</v>
      </c>
      <c r="AX25" s="15"/>
      <c r="AY25" s="14"/>
      <c r="AZ25" s="14">
        <f t="shared" si="14"/>
        <v>2</v>
      </c>
      <c r="BA25" s="15"/>
      <c r="BB25" s="14"/>
      <c r="BC25" s="14">
        <f t="shared" si="15"/>
        <v>2</v>
      </c>
      <c r="BD25" s="15"/>
      <c r="BE25" s="14"/>
      <c r="BF25" s="14">
        <f t="shared" si="16"/>
        <v>2</v>
      </c>
      <c r="BG25" s="15"/>
      <c r="BH25" s="14"/>
      <c r="BI25" s="14">
        <f t="shared" si="17"/>
        <v>2</v>
      </c>
      <c r="BJ25" s="15"/>
      <c r="BK25" s="14"/>
      <c r="BL25" s="14">
        <f t="shared" si="18"/>
        <v>2</v>
      </c>
      <c r="BM25" s="15"/>
      <c r="BN25" s="14"/>
      <c r="BO25" s="14">
        <f t="shared" si="19"/>
        <v>2</v>
      </c>
      <c r="BP25" s="15"/>
      <c r="BQ25" s="14"/>
      <c r="BR25" s="14">
        <f t="shared" si="20"/>
        <v>2</v>
      </c>
      <c r="BS25" s="15"/>
      <c r="BT25" s="14"/>
      <c r="BU25" s="14">
        <f t="shared" si="21"/>
        <v>2</v>
      </c>
      <c r="BV25" s="15"/>
      <c r="BW25" s="14"/>
      <c r="BX25" s="14">
        <f t="shared" si="22"/>
        <v>2</v>
      </c>
      <c r="BY25" s="15"/>
      <c r="BZ25" s="14"/>
      <c r="CA25" s="14">
        <f t="shared" si="23"/>
        <v>2</v>
      </c>
      <c r="CB25" s="15"/>
      <c r="CC25" s="14"/>
      <c r="CD25" s="14">
        <f t="shared" si="24"/>
        <v>2</v>
      </c>
      <c r="CE25" s="15"/>
      <c r="CF25" s="14"/>
      <c r="CG25" s="14">
        <f t="shared" si="25"/>
        <v>2</v>
      </c>
      <c r="CH25" s="15"/>
      <c r="CI25" s="14"/>
      <c r="CJ25" s="14">
        <f t="shared" si="26"/>
        <v>2</v>
      </c>
      <c r="CK25" s="15"/>
      <c r="CL25" s="14"/>
      <c r="CM25" s="14">
        <f t="shared" si="27"/>
        <v>2</v>
      </c>
      <c r="CN25" s="15"/>
      <c r="CO25" s="14"/>
      <c r="CP25" s="14">
        <f t="shared" si="28"/>
        <v>2</v>
      </c>
      <c r="CQ25" s="15"/>
      <c r="CR25" s="14"/>
      <c r="CS25" s="14">
        <f t="shared" si="29"/>
        <v>2</v>
      </c>
      <c r="CT25" s="15"/>
      <c r="CU25" s="14">
        <v>1</v>
      </c>
      <c r="CV25" s="14">
        <f t="shared" si="30"/>
        <v>1</v>
      </c>
      <c r="CW25" s="15"/>
      <c r="CX25" s="14"/>
      <c r="CY25" s="14">
        <f t="shared" si="31"/>
        <v>1</v>
      </c>
      <c r="CZ25" s="15"/>
      <c r="DA25" s="14">
        <v>2</v>
      </c>
      <c r="DB25" s="14">
        <f t="shared" si="32"/>
        <v>-1</v>
      </c>
      <c r="DC25" s="15"/>
      <c r="DD25" s="14"/>
      <c r="DE25" s="14">
        <f t="shared" si="33"/>
        <v>-1</v>
      </c>
      <c r="DF25" s="15"/>
      <c r="DG25" s="14"/>
      <c r="DH25" s="14">
        <f t="shared" si="34"/>
        <v>-1</v>
      </c>
      <c r="DI25" s="15"/>
      <c r="DJ25" s="14"/>
      <c r="DK25" s="14">
        <f t="shared" si="35"/>
        <v>-1</v>
      </c>
      <c r="DL25" s="15"/>
      <c r="DM25" s="14"/>
      <c r="DN25" s="14">
        <f t="shared" si="36"/>
        <v>-1</v>
      </c>
      <c r="DO25" s="15"/>
      <c r="DP25" s="14"/>
      <c r="DQ25" s="14">
        <f t="shared" si="37"/>
        <v>-1</v>
      </c>
      <c r="DR25" s="15"/>
      <c r="DS25" s="14"/>
      <c r="DT25" s="14">
        <f t="shared" si="38"/>
        <v>-1</v>
      </c>
      <c r="DU25" s="15"/>
      <c r="DV25" s="14"/>
      <c r="DW25" s="14">
        <f t="shared" si="39"/>
        <v>-1</v>
      </c>
      <c r="DX25" s="17">
        <f t="shared" si="40"/>
        <v>3</v>
      </c>
      <c r="DY25" s="17">
        <f t="shared" si="41"/>
        <v>-1</v>
      </c>
      <c r="DZ25" s="1"/>
      <c r="EA25" s="1"/>
    </row>
    <row r="26" spans="1:131" ht="36.75" customHeight="1" x14ac:dyDescent="0.3">
      <c r="A26" s="1"/>
      <c r="B26" s="31"/>
      <c r="C26" s="31"/>
      <c r="D26" s="20" t="s">
        <v>230</v>
      </c>
      <c r="E26" s="14" t="s">
        <v>49</v>
      </c>
      <c r="F26" s="14" t="s">
        <v>50</v>
      </c>
      <c r="G26" s="14" t="s">
        <v>231</v>
      </c>
      <c r="H26" s="14">
        <v>2</v>
      </c>
      <c r="I26" s="14"/>
      <c r="J26" s="14">
        <f t="shared" si="0"/>
        <v>2</v>
      </c>
      <c r="K26" s="15"/>
      <c r="L26" s="14"/>
      <c r="M26" s="14">
        <f t="shared" si="1"/>
        <v>2</v>
      </c>
      <c r="N26" s="15"/>
      <c r="O26" s="14"/>
      <c r="P26" s="14">
        <f t="shared" si="2"/>
        <v>2</v>
      </c>
      <c r="Q26" s="15"/>
      <c r="R26" s="14"/>
      <c r="S26" s="14">
        <f t="shared" si="3"/>
        <v>2</v>
      </c>
      <c r="T26" s="15"/>
      <c r="U26" s="14"/>
      <c r="V26" s="14">
        <f t="shared" si="4"/>
        <v>2</v>
      </c>
      <c r="W26" s="15"/>
      <c r="X26" s="14"/>
      <c r="Y26" s="14">
        <f t="shared" si="5"/>
        <v>2</v>
      </c>
      <c r="Z26" s="15"/>
      <c r="AA26" s="14"/>
      <c r="AB26" s="14">
        <f t="shared" si="6"/>
        <v>2</v>
      </c>
      <c r="AC26" s="15"/>
      <c r="AD26" s="14"/>
      <c r="AE26" s="14">
        <f t="shared" si="7"/>
        <v>2</v>
      </c>
      <c r="AF26" s="15"/>
      <c r="AG26" s="14"/>
      <c r="AH26" s="14">
        <f t="shared" si="8"/>
        <v>2</v>
      </c>
      <c r="AI26" s="15"/>
      <c r="AJ26" s="14"/>
      <c r="AK26" s="14">
        <f t="shared" si="9"/>
        <v>2</v>
      </c>
      <c r="AL26" s="15"/>
      <c r="AM26" s="14"/>
      <c r="AN26" s="14">
        <f t="shared" si="10"/>
        <v>2</v>
      </c>
      <c r="AO26" s="15"/>
      <c r="AP26" s="14"/>
      <c r="AQ26" s="14">
        <f t="shared" si="11"/>
        <v>2</v>
      </c>
      <c r="AR26" s="15"/>
      <c r="AS26" s="14"/>
      <c r="AT26" s="14">
        <f t="shared" si="12"/>
        <v>2</v>
      </c>
      <c r="AU26" s="15"/>
      <c r="AV26" s="14"/>
      <c r="AW26" s="14">
        <f t="shared" si="13"/>
        <v>2</v>
      </c>
      <c r="AX26" s="15"/>
      <c r="AY26" s="14"/>
      <c r="AZ26" s="14">
        <f t="shared" si="14"/>
        <v>2</v>
      </c>
      <c r="BA26" s="15"/>
      <c r="BB26" s="14"/>
      <c r="BC26" s="14">
        <f t="shared" si="15"/>
        <v>2</v>
      </c>
      <c r="BD26" s="15"/>
      <c r="BE26" s="14"/>
      <c r="BF26" s="14">
        <f t="shared" si="16"/>
        <v>2</v>
      </c>
      <c r="BG26" s="15"/>
      <c r="BH26" s="14"/>
      <c r="BI26" s="14">
        <f t="shared" si="17"/>
        <v>2</v>
      </c>
      <c r="BJ26" s="15"/>
      <c r="BK26" s="14"/>
      <c r="BL26" s="14">
        <f t="shared" si="18"/>
        <v>2</v>
      </c>
      <c r="BM26" s="15"/>
      <c r="BN26" s="14"/>
      <c r="BO26" s="14">
        <f t="shared" si="19"/>
        <v>2</v>
      </c>
      <c r="BP26" s="15"/>
      <c r="BQ26" s="14"/>
      <c r="BR26" s="14">
        <f t="shared" si="20"/>
        <v>2</v>
      </c>
      <c r="BS26" s="15"/>
      <c r="BT26" s="14"/>
      <c r="BU26" s="14">
        <f t="shared" si="21"/>
        <v>2</v>
      </c>
      <c r="BV26" s="15"/>
      <c r="BW26" s="14"/>
      <c r="BX26" s="14">
        <f t="shared" si="22"/>
        <v>2</v>
      </c>
      <c r="BY26" s="15"/>
      <c r="BZ26" s="14"/>
      <c r="CA26" s="14">
        <f t="shared" si="23"/>
        <v>2</v>
      </c>
      <c r="CB26" s="15"/>
      <c r="CC26" s="14"/>
      <c r="CD26" s="14">
        <f t="shared" si="24"/>
        <v>2</v>
      </c>
      <c r="CE26" s="15"/>
      <c r="CF26" s="14"/>
      <c r="CG26" s="14">
        <f t="shared" si="25"/>
        <v>2</v>
      </c>
      <c r="CH26" s="15"/>
      <c r="CI26" s="14"/>
      <c r="CJ26" s="14">
        <f t="shared" si="26"/>
        <v>2</v>
      </c>
      <c r="CK26" s="15"/>
      <c r="CL26" s="14"/>
      <c r="CM26" s="14">
        <f t="shared" si="27"/>
        <v>2</v>
      </c>
      <c r="CN26" s="15"/>
      <c r="CO26" s="14"/>
      <c r="CP26" s="14">
        <f t="shared" si="28"/>
        <v>2</v>
      </c>
      <c r="CQ26" s="15"/>
      <c r="CR26" s="14"/>
      <c r="CS26" s="14">
        <f t="shared" si="29"/>
        <v>2</v>
      </c>
      <c r="CT26" s="15"/>
      <c r="CU26" s="14">
        <v>1</v>
      </c>
      <c r="CV26" s="14">
        <f t="shared" si="30"/>
        <v>1</v>
      </c>
      <c r="CW26" s="15"/>
      <c r="CX26" s="14">
        <v>1</v>
      </c>
      <c r="CY26" s="14">
        <f t="shared" si="31"/>
        <v>0</v>
      </c>
      <c r="CZ26" s="15"/>
      <c r="DA26" s="14"/>
      <c r="DB26" s="14">
        <f t="shared" si="32"/>
        <v>0</v>
      </c>
      <c r="DC26" s="15"/>
      <c r="DD26" s="14"/>
      <c r="DE26" s="14">
        <f t="shared" si="33"/>
        <v>0</v>
      </c>
      <c r="DF26" s="15"/>
      <c r="DG26" s="14"/>
      <c r="DH26" s="14">
        <f t="shared" si="34"/>
        <v>0</v>
      </c>
      <c r="DI26" s="15"/>
      <c r="DJ26" s="14"/>
      <c r="DK26" s="14">
        <f t="shared" si="35"/>
        <v>0</v>
      </c>
      <c r="DL26" s="15"/>
      <c r="DM26" s="14"/>
      <c r="DN26" s="14">
        <f t="shared" si="36"/>
        <v>0</v>
      </c>
      <c r="DO26" s="15"/>
      <c r="DP26" s="14"/>
      <c r="DQ26" s="14">
        <f t="shared" si="37"/>
        <v>0</v>
      </c>
      <c r="DR26" s="15"/>
      <c r="DS26" s="14"/>
      <c r="DT26" s="14">
        <f t="shared" si="38"/>
        <v>0</v>
      </c>
      <c r="DU26" s="15"/>
      <c r="DV26" s="14"/>
      <c r="DW26" s="14">
        <f t="shared" si="39"/>
        <v>0</v>
      </c>
      <c r="DX26" s="17">
        <f t="shared" si="40"/>
        <v>2</v>
      </c>
      <c r="DY26" s="17">
        <f t="shared" si="41"/>
        <v>0</v>
      </c>
      <c r="DZ26" s="1"/>
      <c r="EA26" s="1"/>
    </row>
    <row r="27" spans="1:131" ht="31.5" customHeight="1" x14ac:dyDescent="0.3">
      <c r="A27" s="1"/>
      <c r="B27" s="39"/>
      <c r="C27" s="39"/>
      <c r="D27" s="20" t="s">
        <v>232</v>
      </c>
      <c r="E27" s="14" t="s">
        <v>43</v>
      </c>
      <c r="F27" s="14" t="s">
        <v>50</v>
      </c>
      <c r="G27" s="14" t="s">
        <v>233</v>
      </c>
      <c r="H27" s="14">
        <v>2</v>
      </c>
      <c r="I27" s="14"/>
      <c r="J27" s="14">
        <f t="shared" si="0"/>
        <v>2</v>
      </c>
      <c r="K27" s="15"/>
      <c r="L27" s="14"/>
      <c r="M27" s="14">
        <f t="shared" si="1"/>
        <v>2</v>
      </c>
      <c r="N27" s="15"/>
      <c r="O27" s="14"/>
      <c r="P27" s="14">
        <f t="shared" si="2"/>
        <v>2</v>
      </c>
      <c r="Q27" s="15"/>
      <c r="R27" s="14"/>
      <c r="S27" s="14">
        <f t="shared" si="3"/>
        <v>2</v>
      </c>
      <c r="T27" s="15"/>
      <c r="U27" s="14"/>
      <c r="V27" s="14">
        <f t="shared" si="4"/>
        <v>2</v>
      </c>
      <c r="W27" s="15"/>
      <c r="X27" s="14"/>
      <c r="Y27" s="14">
        <f t="shared" si="5"/>
        <v>2</v>
      </c>
      <c r="Z27" s="15"/>
      <c r="AA27" s="14"/>
      <c r="AB27" s="14">
        <f t="shared" si="6"/>
        <v>2</v>
      </c>
      <c r="AC27" s="15"/>
      <c r="AD27" s="14"/>
      <c r="AE27" s="14">
        <f t="shared" si="7"/>
        <v>2</v>
      </c>
      <c r="AF27" s="15"/>
      <c r="AG27" s="14"/>
      <c r="AH27" s="14">
        <f t="shared" si="8"/>
        <v>2</v>
      </c>
      <c r="AI27" s="15"/>
      <c r="AJ27" s="14"/>
      <c r="AK27" s="14">
        <f t="shared" si="9"/>
        <v>2</v>
      </c>
      <c r="AL27" s="15"/>
      <c r="AM27" s="14"/>
      <c r="AN27" s="14">
        <f t="shared" si="10"/>
        <v>2</v>
      </c>
      <c r="AO27" s="15"/>
      <c r="AP27" s="14"/>
      <c r="AQ27" s="14">
        <f t="shared" si="11"/>
        <v>2</v>
      </c>
      <c r="AR27" s="15"/>
      <c r="AS27" s="14"/>
      <c r="AT27" s="14">
        <f t="shared" si="12"/>
        <v>2</v>
      </c>
      <c r="AU27" s="15"/>
      <c r="AV27" s="14"/>
      <c r="AW27" s="14">
        <f t="shared" si="13"/>
        <v>2</v>
      </c>
      <c r="AX27" s="15"/>
      <c r="AY27" s="14"/>
      <c r="AZ27" s="14">
        <f t="shared" si="14"/>
        <v>2</v>
      </c>
      <c r="BA27" s="15"/>
      <c r="BB27" s="14"/>
      <c r="BC27" s="14">
        <f t="shared" si="15"/>
        <v>2</v>
      </c>
      <c r="BD27" s="15"/>
      <c r="BE27" s="14"/>
      <c r="BF27" s="14">
        <f t="shared" si="16"/>
        <v>2</v>
      </c>
      <c r="BG27" s="15"/>
      <c r="BH27" s="14"/>
      <c r="BI27" s="14">
        <f t="shared" si="17"/>
        <v>2</v>
      </c>
      <c r="BJ27" s="15"/>
      <c r="BK27" s="14"/>
      <c r="BL27" s="14">
        <f t="shared" si="18"/>
        <v>2</v>
      </c>
      <c r="BM27" s="15"/>
      <c r="BN27" s="14"/>
      <c r="BO27" s="14">
        <f t="shared" si="19"/>
        <v>2</v>
      </c>
      <c r="BP27" s="15"/>
      <c r="BQ27" s="14"/>
      <c r="BR27" s="14">
        <f t="shared" si="20"/>
        <v>2</v>
      </c>
      <c r="BS27" s="15"/>
      <c r="BT27" s="14"/>
      <c r="BU27" s="14">
        <f t="shared" si="21"/>
        <v>2</v>
      </c>
      <c r="BV27" s="15"/>
      <c r="BW27" s="14"/>
      <c r="BX27" s="14">
        <f t="shared" si="22"/>
        <v>2</v>
      </c>
      <c r="BY27" s="15"/>
      <c r="BZ27" s="14"/>
      <c r="CA27" s="14">
        <f t="shared" si="23"/>
        <v>2</v>
      </c>
      <c r="CB27" s="15"/>
      <c r="CC27" s="14"/>
      <c r="CD27" s="14">
        <f t="shared" si="24"/>
        <v>2</v>
      </c>
      <c r="CE27" s="15"/>
      <c r="CF27" s="14"/>
      <c r="CG27" s="14">
        <f t="shared" si="25"/>
        <v>2</v>
      </c>
      <c r="CH27" s="15"/>
      <c r="CI27" s="14"/>
      <c r="CJ27" s="14">
        <f t="shared" si="26"/>
        <v>2</v>
      </c>
      <c r="CK27" s="15"/>
      <c r="CL27" s="14"/>
      <c r="CM27" s="14">
        <f t="shared" si="27"/>
        <v>2</v>
      </c>
      <c r="CN27" s="15"/>
      <c r="CO27" s="14"/>
      <c r="CP27" s="14">
        <f t="shared" si="28"/>
        <v>2</v>
      </c>
      <c r="CQ27" s="15"/>
      <c r="CR27" s="14"/>
      <c r="CS27" s="14">
        <f t="shared" si="29"/>
        <v>2</v>
      </c>
      <c r="CT27" s="15"/>
      <c r="CU27" s="14"/>
      <c r="CV27" s="14">
        <f t="shared" si="30"/>
        <v>2</v>
      </c>
      <c r="CW27" s="15"/>
      <c r="CX27" s="14"/>
      <c r="CY27" s="14">
        <f t="shared" si="31"/>
        <v>2</v>
      </c>
      <c r="CZ27" s="15"/>
      <c r="DA27" s="14"/>
      <c r="DB27" s="14">
        <f t="shared" si="32"/>
        <v>2</v>
      </c>
      <c r="DC27" s="15"/>
      <c r="DD27" s="14">
        <v>2</v>
      </c>
      <c r="DE27" s="14">
        <f t="shared" si="33"/>
        <v>0</v>
      </c>
      <c r="DF27" s="15"/>
      <c r="DG27" s="14"/>
      <c r="DH27" s="14">
        <f t="shared" si="34"/>
        <v>0</v>
      </c>
      <c r="DI27" s="15"/>
      <c r="DJ27" s="14"/>
      <c r="DK27" s="14">
        <f t="shared" si="35"/>
        <v>0</v>
      </c>
      <c r="DL27" s="15"/>
      <c r="DM27" s="14"/>
      <c r="DN27" s="14">
        <f t="shared" si="36"/>
        <v>0</v>
      </c>
      <c r="DO27" s="15"/>
      <c r="DP27" s="14"/>
      <c r="DQ27" s="14">
        <f t="shared" si="37"/>
        <v>0</v>
      </c>
      <c r="DR27" s="15"/>
      <c r="DS27" s="14"/>
      <c r="DT27" s="14">
        <f t="shared" si="38"/>
        <v>0</v>
      </c>
      <c r="DU27" s="15"/>
      <c r="DV27" s="14"/>
      <c r="DW27" s="14">
        <f t="shared" si="39"/>
        <v>0</v>
      </c>
      <c r="DX27" s="17">
        <f t="shared" si="40"/>
        <v>2</v>
      </c>
      <c r="DY27" s="17">
        <f t="shared" si="41"/>
        <v>0</v>
      </c>
      <c r="DZ27" s="1"/>
      <c r="EA27" s="1"/>
    </row>
    <row r="28" spans="1:131" ht="30" customHeight="1" x14ac:dyDescent="0.3">
      <c r="A28" s="24"/>
      <c r="B28" s="38" t="s">
        <v>234</v>
      </c>
      <c r="C28" s="30" t="s">
        <v>235</v>
      </c>
      <c r="D28" s="20" t="s">
        <v>236</v>
      </c>
      <c r="E28" s="14" t="s">
        <v>43</v>
      </c>
      <c r="F28" s="14" t="s">
        <v>50</v>
      </c>
      <c r="G28" s="14" t="s">
        <v>237</v>
      </c>
      <c r="H28" s="14">
        <v>4</v>
      </c>
      <c r="I28" s="14"/>
      <c r="J28" s="14">
        <f t="shared" si="0"/>
        <v>4</v>
      </c>
      <c r="K28" s="15"/>
      <c r="L28" s="14"/>
      <c r="M28" s="14">
        <f t="shared" si="1"/>
        <v>4</v>
      </c>
      <c r="N28" s="15"/>
      <c r="O28" s="14"/>
      <c r="P28" s="14">
        <f t="shared" si="2"/>
        <v>4</v>
      </c>
      <c r="Q28" s="15"/>
      <c r="R28" s="14"/>
      <c r="S28" s="14">
        <f t="shared" si="3"/>
        <v>4</v>
      </c>
      <c r="T28" s="15"/>
      <c r="U28" s="14"/>
      <c r="V28" s="14">
        <f t="shared" si="4"/>
        <v>4</v>
      </c>
      <c r="W28" s="15"/>
      <c r="X28" s="14"/>
      <c r="Y28" s="14">
        <f t="shared" si="5"/>
        <v>4</v>
      </c>
      <c r="Z28" s="15"/>
      <c r="AA28" s="14"/>
      <c r="AB28" s="14">
        <f t="shared" si="6"/>
        <v>4</v>
      </c>
      <c r="AC28" s="15"/>
      <c r="AD28" s="14"/>
      <c r="AE28" s="14">
        <f t="shared" si="7"/>
        <v>4</v>
      </c>
      <c r="AF28" s="15"/>
      <c r="AG28" s="14"/>
      <c r="AH28" s="14">
        <f t="shared" si="8"/>
        <v>4</v>
      </c>
      <c r="AI28" s="15"/>
      <c r="AJ28" s="14"/>
      <c r="AK28" s="14">
        <f t="shared" si="9"/>
        <v>4</v>
      </c>
      <c r="AL28" s="15"/>
      <c r="AM28" s="14"/>
      <c r="AN28" s="14">
        <f t="shared" si="10"/>
        <v>4</v>
      </c>
      <c r="AO28" s="15"/>
      <c r="AP28" s="14"/>
      <c r="AQ28" s="14">
        <f t="shared" si="11"/>
        <v>4</v>
      </c>
      <c r="AR28" s="15"/>
      <c r="AS28" s="14"/>
      <c r="AT28" s="14">
        <f t="shared" si="12"/>
        <v>4</v>
      </c>
      <c r="AU28" s="15"/>
      <c r="AV28" s="14"/>
      <c r="AW28" s="14">
        <f t="shared" si="13"/>
        <v>4</v>
      </c>
      <c r="AX28" s="15"/>
      <c r="AY28" s="14"/>
      <c r="AZ28" s="14">
        <f t="shared" si="14"/>
        <v>4</v>
      </c>
      <c r="BA28" s="15"/>
      <c r="BB28" s="14"/>
      <c r="BC28" s="14">
        <f t="shared" si="15"/>
        <v>4</v>
      </c>
      <c r="BD28" s="15"/>
      <c r="BE28" s="14"/>
      <c r="BF28" s="14">
        <f t="shared" si="16"/>
        <v>4</v>
      </c>
      <c r="BG28" s="15"/>
      <c r="BH28" s="14"/>
      <c r="BI28" s="14">
        <f t="shared" si="17"/>
        <v>4</v>
      </c>
      <c r="BJ28" s="15"/>
      <c r="BK28" s="14"/>
      <c r="BL28" s="14">
        <f t="shared" si="18"/>
        <v>4</v>
      </c>
      <c r="BM28" s="15"/>
      <c r="BN28" s="14"/>
      <c r="BO28" s="14">
        <f t="shared" si="19"/>
        <v>4</v>
      </c>
      <c r="BP28" s="15"/>
      <c r="BQ28" s="14"/>
      <c r="BR28" s="14">
        <f t="shared" si="20"/>
        <v>4</v>
      </c>
      <c r="BS28" s="15"/>
      <c r="BT28" s="14"/>
      <c r="BU28" s="14">
        <f t="shared" si="21"/>
        <v>4</v>
      </c>
      <c r="BV28" s="15"/>
      <c r="BW28" s="14"/>
      <c r="BX28" s="14">
        <f t="shared" si="22"/>
        <v>4</v>
      </c>
      <c r="BY28" s="15"/>
      <c r="BZ28" s="14"/>
      <c r="CA28" s="14">
        <f t="shared" si="23"/>
        <v>4</v>
      </c>
      <c r="CB28" s="15"/>
      <c r="CC28" s="14"/>
      <c r="CD28" s="14">
        <f t="shared" si="24"/>
        <v>4</v>
      </c>
      <c r="CE28" s="15"/>
      <c r="CF28" s="14"/>
      <c r="CG28" s="14">
        <f t="shared" si="25"/>
        <v>4</v>
      </c>
      <c r="CH28" s="15"/>
      <c r="CI28" s="14"/>
      <c r="CJ28" s="14">
        <f t="shared" si="26"/>
        <v>4</v>
      </c>
      <c r="CK28" s="15"/>
      <c r="CL28" s="14"/>
      <c r="CM28" s="14">
        <f t="shared" si="27"/>
        <v>4</v>
      </c>
      <c r="CN28" s="15"/>
      <c r="CO28" s="14"/>
      <c r="CP28" s="14">
        <f t="shared" si="28"/>
        <v>4</v>
      </c>
      <c r="CQ28" s="15"/>
      <c r="CR28" s="14"/>
      <c r="CS28" s="14">
        <f t="shared" si="29"/>
        <v>4</v>
      </c>
      <c r="CT28" s="15"/>
      <c r="CU28" s="14"/>
      <c r="CV28" s="14">
        <f t="shared" si="30"/>
        <v>4</v>
      </c>
      <c r="CW28" s="15"/>
      <c r="CX28" s="14"/>
      <c r="CY28" s="14">
        <f t="shared" si="31"/>
        <v>4</v>
      </c>
      <c r="CZ28" s="15"/>
      <c r="DA28" s="14"/>
      <c r="DB28" s="14">
        <f t="shared" si="32"/>
        <v>4</v>
      </c>
      <c r="DC28" s="15"/>
      <c r="DD28" s="14"/>
      <c r="DE28" s="14">
        <f t="shared" si="33"/>
        <v>4</v>
      </c>
      <c r="DF28" s="15"/>
      <c r="DG28" s="14">
        <v>2</v>
      </c>
      <c r="DH28" s="14">
        <f t="shared" si="34"/>
        <v>2</v>
      </c>
      <c r="DI28" s="15"/>
      <c r="DJ28" s="14"/>
      <c r="DK28" s="14">
        <f t="shared" si="35"/>
        <v>2</v>
      </c>
      <c r="DL28" s="15"/>
      <c r="DM28" s="14"/>
      <c r="DN28" s="14">
        <f t="shared" si="36"/>
        <v>2</v>
      </c>
      <c r="DO28" s="15"/>
      <c r="DP28" s="14"/>
      <c r="DQ28" s="14">
        <f t="shared" si="37"/>
        <v>2</v>
      </c>
      <c r="DR28" s="15"/>
      <c r="DS28" s="14"/>
      <c r="DT28" s="14">
        <f t="shared" si="38"/>
        <v>2</v>
      </c>
      <c r="DU28" s="15"/>
      <c r="DV28" s="14">
        <v>2</v>
      </c>
      <c r="DW28" s="14">
        <f t="shared" si="39"/>
        <v>0</v>
      </c>
      <c r="DX28" s="17">
        <f t="shared" si="40"/>
        <v>4</v>
      </c>
      <c r="DY28" s="17">
        <f t="shared" si="41"/>
        <v>0</v>
      </c>
      <c r="DZ28" s="1"/>
      <c r="EA28" s="1"/>
    </row>
    <row r="29" spans="1:131" ht="30" customHeight="1" x14ac:dyDescent="0.3">
      <c r="A29" s="24"/>
      <c r="B29" s="31"/>
      <c r="C29" s="31"/>
      <c r="D29" s="20" t="s">
        <v>238</v>
      </c>
      <c r="E29" s="14" t="s">
        <v>49</v>
      </c>
      <c r="F29" s="14" t="s">
        <v>50</v>
      </c>
      <c r="G29" s="14" t="s">
        <v>239</v>
      </c>
      <c r="H29" s="14">
        <v>2</v>
      </c>
      <c r="I29" s="14"/>
      <c r="J29" s="14">
        <f t="shared" si="0"/>
        <v>2</v>
      </c>
      <c r="K29" s="15"/>
      <c r="L29" s="14"/>
      <c r="M29" s="14">
        <f t="shared" si="1"/>
        <v>2</v>
      </c>
      <c r="N29" s="15"/>
      <c r="O29" s="14"/>
      <c r="P29" s="14">
        <f t="shared" si="2"/>
        <v>2</v>
      </c>
      <c r="Q29" s="15"/>
      <c r="R29" s="14"/>
      <c r="S29" s="14">
        <f t="shared" si="3"/>
        <v>2</v>
      </c>
      <c r="T29" s="15"/>
      <c r="U29" s="14"/>
      <c r="V29" s="14">
        <f t="shared" si="4"/>
        <v>2</v>
      </c>
      <c r="W29" s="15"/>
      <c r="X29" s="14"/>
      <c r="Y29" s="14">
        <f t="shared" si="5"/>
        <v>2</v>
      </c>
      <c r="Z29" s="15"/>
      <c r="AA29" s="14"/>
      <c r="AB29" s="14">
        <f t="shared" si="6"/>
        <v>2</v>
      </c>
      <c r="AC29" s="15"/>
      <c r="AD29" s="14"/>
      <c r="AE29" s="14">
        <f t="shared" si="7"/>
        <v>2</v>
      </c>
      <c r="AF29" s="15"/>
      <c r="AG29" s="14"/>
      <c r="AH29" s="14">
        <f t="shared" si="8"/>
        <v>2</v>
      </c>
      <c r="AI29" s="15"/>
      <c r="AJ29" s="14"/>
      <c r="AK29" s="14">
        <f t="shared" si="9"/>
        <v>2</v>
      </c>
      <c r="AL29" s="15"/>
      <c r="AM29" s="14"/>
      <c r="AN29" s="14">
        <f t="shared" si="10"/>
        <v>2</v>
      </c>
      <c r="AO29" s="15"/>
      <c r="AP29" s="14"/>
      <c r="AQ29" s="14">
        <f t="shared" si="11"/>
        <v>2</v>
      </c>
      <c r="AR29" s="15"/>
      <c r="AS29" s="14"/>
      <c r="AT29" s="14">
        <f t="shared" si="12"/>
        <v>2</v>
      </c>
      <c r="AU29" s="15"/>
      <c r="AV29" s="14"/>
      <c r="AW29" s="14">
        <f t="shared" si="13"/>
        <v>2</v>
      </c>
      <c r="AX29" s="15"/>
      <c r="AY29" s="14"/>
      <c r="AZ29" s="14">
        <f t="shared" si="14"/>
        <v>2</v>
      </c>
      <c r="BA29" s="15"/>
      <c r="BB29" s="14"/>
      <c r="BC29" s="14">
        <f t="shared" si="15"/>
        <v>2</v>
      </c>
      <c r="BD29" s="15"/>
      <c r="BE29" s="14"/>
      <c r="BF29" s="14">
        <f t="shared" si="16"/>
        <v>2</v>
      </c>
      <c r="BG29" s="15"/>
      <c r="BH29" s="14"/>
      <c r="BI29" s="14">
        <f t="shared" si="17"/>
        <v>2</v>
      </c>
      <c r="BJ29" s="15"/>
      <c r="BK29" s="14"/>
      <c r="BL29" s="14">
        <f t="shared" si="18"/>
        <v>2</v>
      </c>
      <c r="BM29" s="15"/>
      <c r="BN29" s="14"/>
      <c r="BO29" s="14">
        <f t="shared" si="19"/>
        <v>2</v>
      </c>
      <c r="BP29" s="15"/>
      <c r="BQ29" s="14"/>
      <c r="BR29" s="14">
        <f t="shared" si="20"/>
        <v>2</v>
      </c>
      <c r="BS29" s="15"/>
      <c r="BT29" s="14"/>
      <c r="BU29" s="14">
        <f t="shared" si="21"/>
        <v>2</v>
      </c>
      <c r="BV29" s="15"/>
      <c r="BW29" s="14"/>
      <c r="BX29" s="14">
        <f t="shared" si="22"/>
        <v>2</v>
      </c>
      <c r="BY29" s="15"/>
      <c r="BZ29" s="14"/>
      <c r="CA29" s="14">
        <f t="shared" si="23"/>
        <v>2</v>
      </c>
      <c r="CB29" s="15"/>
      <c r="CC29" s="14"/>
      <c r="CD29" s="14">
        <f t="shared" si="24"/>
        <v>2</v>
      </c>
      <c r="CE29" s="15"/>
      <c r="CF29" s="14"/>
      <c r="CG29" s="14">
        <f t="shared" si="25"/>
        <v>2</v>
      </c>
      <c r="CH29" s="15"/>
      <c r="CI29" s="14"/>
      <c r="CJ29" s="14">
        <f t="shared" si="26"/>
        <v>2</v>
      </c>
      <c r="CK29" s="15"/>
      <c r="CL29" s="14"/>
      <c r="CM29" s="14">
        <f t="shared" si="27"/>
        <v>2</v>
      </c>
      <c r="CN29" s="15"/>
      <c r="CO29" s="14"/>
      <c r="CP29" s="14">
        <f t="shared" si="28"/>
        <v>2</v>
      </c>
      <c r="CQ29" s="15"/>
      <c r="CR29" s="14"/>
      <c r="CS29" s="14">
        <f t="shared" si="29"/>
        <v>2</v>
      </c>
      <c r="CT29" s="15"/>
      <c r="CU29" s="14"/>
      <c r="CV29" s="14">
        <f t="shared" si="30"/>
        <v>2</v>
      </c>
      <c r="CW29" s="15"/>
      <c r="CX29" s="14"/>
      <c r="CY29" s="14">
        <f t="shared" si="31"/>
        <v>2</v>
      </c>
      <c r="CZ29" s="15"/>
      <c r="DA29" s="14">
        <v>2</v>
      </c>
      <c r="DB29" s="14">
        <f t="shared" si="32"/>
        <v>0</v>
      </c>
      <c r="DC29" s="15"/>
      <c r="DD29" s="14"/>
      <c r="DE29" s="14">
        <f t="shared" si="33"/>
        <v>0</v>
      </c>
      <c r="DF29" s="15"/>
      <c r="DG29" s="14"/>
      <c r="DH29" s="14">
        <f t="shared" si="34"/>
        <v>0</v>
      </c>
      <c r="DI29" s="15"/>
      <c r="DJ29" s="14"/>
      <c r="DK29" s="14">
        <f t="shared" si="35"/>
        <v>0</v>
      </c>
      <c r="DL29" s="15"/>
      <c r="DM29" s="14"/>
      <c r="DN29" s="14">
        <f t="shared" si="36"/>
        <v>0</v>
      </c>
      <c r="DO29" s="15"/>
      <c r="DP29" s="14"/>
      <c r="DQ29" s="14">
        <f t="shared" si="37"/>
        <v>0</v>
      </c>
      <c r="DR29" s="15"/>
      <c r="DS29" s="14"/>
      <c r="DT29" s="14">
        <f t="shared" si="38"/>
        <v>0</v>
      </c>
      <c r="DU29" s="15"/>
      <c r="DV29" s="14"/>
      <c r="DW29" s="14">
        <f t="shared" si="39"/>
        <v>0</v>
      </c>
      <c r="DX29" s="17">
        <f t="shared" si="40"/>
        <v>2</v>
      </c>
      <c r="DY29" s="17">
        <f t="shared" si="41"/>
        <v>0</v>
      </c>
      <c r="DZ29" s="1"/>
      <c r="EA29" s="1"/>
    </row>
    <row r="30" spans="1:131" ht="31.5" customHeight="1" x14ac:dyDescent="0.3">
      <c r="A30" s="24"/>
      <c r="B30" s="31"/>
      <c r="C30" s="31"/>
      <c r="D30" s="20" t="s">
        <v>240</v>
      </c>
      <c r="E30" s="14" t="s">
        <v>43</v>
      </c>
      <c r="F30" s="14" t="s">
        <v>50</v>
      </c>
      <c r="G30" s="14" t="s">
        <v>241</v>
      </c>
      <c r="H30" s="14">
        <v>2</v>
      </c>
      <c r="I30" s="14"/>
      <c r="J30" s="14">
        <f t="shared" si="0"/>
        <v>2</v>
      </c>
      <c r="K30" s="15"/>
      <c r="L30" s="14"/>
      <c r="M30" s="14">
        <f t="shared" si="1"/>
        <v>2</v>
      </c>
      <c r="N30" s="15"/>
      <c r="O30" s="14"/>
      <c r="P30" s="14">
        <f t="shared" si="2"/>
        <v>2</v>
      </c>
      <c r="Q30" s="15"/>
      <c r="R30" s="14"/>
      <c r="S30" s="14">
        <f t="shared" si="3"/>
        <v>2</v>
      </c>
      <c r="T30" s="15"/>
      <c r="U30" s="14"/>
      <c r="V30" s="14">
        <f t="shared" si="4"/>
        <v>2</v>
      </c>
      <c r="W30" s="15"/>
      <c r="X30" s="14"/>
      <c r="Y30" s="14">
        <f t="shared" si="5"/>
        <v>2</v>
      </c>
      <c r="Z30" s="15"/>
      <c r="AA30" s="14"/>
      <c r="AB30" s="14">
        <f t="shared" si="6"/>
        <v>2</v>
      </c>
      <c r="AC30" s="15"/>
      <c r="AD30" s="14"/>
      <c r="AE30" s="14">
        <f t="shared" si="7"/>
        <v>2</v>
      </c>
      <c r="AF30" s="15"/>
      <c r="AG30" s="14"/>
      <c r="AH30" s="14">
        <f t="shared" si="8"/>
        <v>2</v>
      </c>
      <c r="AI30" s="15"/>
      <c r="AJ30" s="14"/>
      <c r="AK30" s="14">
        <f t="shared" si="9"/>
        <v>2</v>
      </c>
      <c r="AL30" s="15"/>
      <c r="AM30" s="14"/>
      <c r="AN30" s="14">
        <f t="shared" si="10"/>
        <v>2</v>
      </c>
      <c r="AO30" s="15"/>
      <c r="AP30" s="14"/>
      <c r="AQ30" s="14">
        <f t="shared" si="11"/>
        <v>2</v>
      </c>
      <c r="AR30" s="15"/>
      <c r="AS30" s="14"/>
      <c r="AT30" s="14">
        <f t="shared" si="12"/>
        <v>2</v>
      </c>
      <c r="AU30" s="15"/>
      <c r="AV30" s="14"/>
      <c r="AW30" s="14">
        <f t="shared" si="13"/>
        <v>2</v>
      </c>
      <c r="AX30" s="15"/>
      <c r="AY30" s="14"/>
      <c r="AZ30" s="14">
        <f t="shared" si="14"/>
        <v>2</v>
      </c>
      <c r="BA30" s="15"/>
      <c r="BB30" s="14"/>
      <c r="BC30" s="14">
        <f t="shared" si="15"/>
        <v>2</v>
      </c>
      <c r="BD30" s="15"/>
      <c r="BE30" s="14"/>
      <c r="BF30" s="14">
        <f t="shared" si="16"/>
        <v>2</v>
      </c>
      <c r="BG30" s="15"/>
      <c r="BH30" s="14"/>
      <c r="BI30" s="14">
        <f t="shared" si="17"/>
        <v>2</v>
      </c>
      <c r="BJ30" s="15"/>
      <c r="BK30" s="14"/>
      <c r="BL30" s="14">
        <f t="shared" si="18"/>
        <v>2</v>
      </c>
      <c r="BM30" s="15"/>
      <c r="BN30" s="14"/>
      <c r="BO30" s="14">
        <f t="shared" si="19"/>
        <v>2</v>
      </c>
      <c r="BP30" s="15"/>
      <c r="BQ30" s="14"/>
      <c r="BR30" s="14">
        <f t="shared" si="20"/>
        <v>2</v>
      </c>
      <c r="BS30" s="15"/>
      <c r="BT30" s="14"/>
      <c r="BU30" s="14">
        <f t="shared" si="21"/>
        <v>2</v>
      </c>
      <c r="BV30" s="15"/>
      <c r="BW30" s="14"/>
      <c r="BX30" s="14">
        <f t="shared" si="22"/>
        <v>2</v>
      </c>
      <c r="BY30" s="15"/>
      <c r="BZ30" s="14"/>
      <c r="CA30" s="14">
        <f t="shared" si="23"/>
        <v>2</v>
      </c>
      <c r="CB30" s="15"/>
      <c r="CC30" s="14"/>
      <c r="CD30" s="14">
        <f t="shared" si="24"/>
        <v>2</v>
      </c>
      <c r="CE30" s="15"/>
      <c r="CF30" s="14"/>
      <c r="CG30" s="14">
        <f t="shared" si="25"/>
        <v>2</v>
      </c>
      <c r="CH30" s="15"/>
      <c r="CI30" s="14"/>
      <c r="CJ30" s="14">
        <f t="shared" si="26"/>
        <v>2</v>
      </c>
      <c r="CK30" s="15"/>
      <c r="CL30" s="14"/>
      <c r="CM30" s="14">
        <f t="shared" si="27"/>
        <v>2</v>
      </c>
      <c r="CN30" s="15"/>
      <c r="CO30" s="14"/>
      <c r="CP30" s="14">
        <f t="shared" si="28"/>
        <v>2</v>
      </c>
      <c r="CQ30" s="15"/>
      <c r="CR30" s="14"/>
      <c r="CS30" s="14">
        <f t="shared" si="29"/>
        <v>2</v>
      </c>
      <c r="CT30" s="15"/>
      <c r="CU30" s="14"/>
      <c r="CV30" s="14">
        <f t="shared" si="30"/>
        <v>2</v>
      </c>
      <c r="CW30" s="15"/>
      <c r="CX30" s="14"/>
      <c r="CY30" s="14">
        <f t="shared" si="31"/>
        <v>2</v>
      </c>
      <c r="CZ30" s="15"/>
      <c r="DA30" s="14">
        <v>2</v>
      </c>
      <c r="DB30" s="14">
        <f t="shared" si="32"/>
        <v>0</v>
      </c>
      <c r="DC30" s="15"/>
      <c r="DD30" s="14"/>
      <c r="DE30" s="14">
        <f t="shared" si="33"/>
        <v>0</v>
      </c>
      <c r="DF30" s="15"/>
      <c r="DG30" s="14"/>
      <c r="DH30" s="14">
        <f t="shared" si="34"/>
        <v>0</v>
      </c>
      <c r="DI30" s="15"/>
      <c r="DJ30" s="14"/>
      <c r="DK30" s="14">
        <f t="shared" si="35"/>
        <v>0</v>
      </c>
      <c r="DL30" s="15"/>
      <c r="DM30" s="14"/>
      <c r="DN30" s="14">
        <f t="shared" si="36"/>
        <v>0</v>
      </c>
      <c r="DO30" s="15"/>
      <c r="DP30" s="14"/>
      <c r="DQ30" s="14">
        <f t="shared" si="37"/>
        <v>0</v>
      </c>
      <c r="DR30" s="15"/>
      <c r="DS30" s="14"/>
      <c r="DT30" s="14">
        <f t="shared" si="38"/>
        <v>0</v>
      </c>
      <c r="DU30" s="15"/>
      <c r="DV30" s="14"/>
      <c r="DW30" s="14">
        <f t="shared" si="39"/>
        <v>0</v>
      </c>
      <c r="DX30" s="17">
        <f t="shared" si="40"/>
        <v>2</v>
      </c>
      <c r="DY30" s="17">
        <f t="shared" si="41"/>
        <v>0</v>
      </c>
      <c r="DZ30" s="1"/>
      <c r="EA30" s="1"/>
    </row>
    <row r="31" spans="1:131" ht="15.75" customHeight="1" x14ac:dyDescent="0.3">
      <c r="A31" s="24"/>
      <c r="B31" s="32"/>
      <c r="C31" s="32"/>
      <c r="D31" s="20" t="s">
        <v>242</v>
      </c>
      <c r="E31" s="14" t="s">
        <v>49</v>
      </c>
      <c r="F31" s="14" t="s">
        <v>50</v>
      </c>
      <c r="G31" s="14" t="s">
        <v>243</v>
      </c>
      <c r="H31" s="14">
        <v>4</v>
      </c>
      <c r="I31" s="14"/>
      <c r="J31" s="14">
        <f t="shared" si="0"/>
        <v>4</v>
      </c>
      <c r="K31" s="15"/>
      <c r="L31" s="14"/>
      <c r="M31" s="14">
        <f t="shared" si="1"/>
        <v>4</v>
      </c>
      <c r="N31" s="15"/>
      <c r="O31" s="14"/>
      <c r="P31" s="14">
        <f t="shared" si="2"/>
        <v>4</v>
      </c>
      <c r="Q31" s="15"/>
      <c r="R31" s="14"/>
      <c r="S31" s="14">
        <f t="shared" si="3"/>
        <v>4</v>
      </c>
      <c r="T31" s="15"/>
      <c r="U31" s="14"/>
      <c r="V31" s="14">
        <f t="shared" si="4"/>
        <v>4</v>
      </c>
      <c r="W31" s="15"/>
      <c r="X31" s="14"/>
      <c r="Y31" s="14">
        <f t="shared" si="5"/>
        <v>4</v>
      </c>
      <c r="Z31" s="15"/>
      <c r="AA31" s="14"/>
      <c r="AB31" s="14">
        <f t="shared" si="6"/>
        <v>4</v>
      </c>
      <c r="AC31" s="15"/>
      <c r="AD31" s="14"/>
      <c r="AE31" s="14">
        <f t="shared" si="7"/>
        <v>4</v>
      </c>
      <c r="AF31" s="15"/>
      <c r="AG31" s="14"/>
      <c r="AH31" s="14">
        <f t="shared" si="8"/>
        <v>4</v>
      </c>
      <c r="AI31" s="15"/>
      <c r="AJ31" s="14"/>
      <c r="AK31" s="14">
        <f t="shared" si="9"/>
        <v>4</v>
      </c>
      <c r="AL31" s="15"/>
      <c r="AM31" s="14"/>
      <c r="AN31" s="14">
        <f t="shared" si="10"/>
        <v>4</v>
      </c>
      <c r="AO31" s="15"/>
      <c r="AP31" s="14"/>
      <c r="AQ31" s="14">
        <f t="shared" si="11"/>
        <v>4</v>
      </c>
      <c r="AR31" s="15"/>
      <c r="AS31" s="14"/>
      <c r="AT31" s="14">
        <f t="shared" si="12"/>
        <v>4</v>
      </c>
      <c r="AU31" s="15"/>
      <c r="AV31" s="14"/>
      <c r="AW31" s="14">
        <f t="shared" si="13"/>
        <v>4</v>
      </c>
      <c r="AX31" s="15"/>
      <c r="AY31" s="14"/>
      <c r="AZ31" s="14">
        <f t="shared" si="14"/>
        <v>4</v>
      </c>
      <c r="BA31" s="15"/>
      <c r="BB31" s="14"/>
      <c r="BC31" s="14">
        <f t="shared" si="15"/>
        <v>4</v>
      </c>
      <c r="BD31" s="15"/>
      <c r="BE31" s="14"/>
      <c r="BF31" s="14">
        <f t="shared" si="16"/>
        <v>4</v>
      </c>
      <c r="BG31" s="15"/>
      <c r="BH31" s="14"/>
      <c r="BI31" s="14">
        <f t="shared" si="17"/>
        <v>4</v>
      </c>
      <c r="BJ31" s="15"/>
      <c r="BK31" s="14"/>
      <c r="BL31" s="14">
        <f t="shared" si="18"/>
        <v>4</v>
      </c>
      <c r="BM31" s="15"/>
      <c r="BN31" s="14"/>
      <c r="BO31" s="14">
        <f t="shared" si="19"/>
        <v>4</v>
      </c>
      <c r="BP31" s="15"/>
      <c r="BQ31" s="14"/>
      <c r="BR31" s="14">
        <f t="shared" si="20"/>
        <v>4</v>
      </c>
      <c r="BS31" s="15"/>
      <c r="BT31" s="14"/>
      <c r="BU31" s="14">
        <f t="shared" si="21"/>
        <v>4</v>
      </c>
      <c r="BV31" s="15"/>
      <c r="BW31" s="14"/>
      <c r="BX31" s="14">
        <f t="shared" si="22"/>
        <v>4</v>
      </c>
      <c r="BY31" s="15"/>
      <c r="BZ31" s="14"/>
      <c r="CA31" s="14">
        <f t="shared" si="23"/>
        <v>4</v>
      </c>
      <c r="CB31" s="15"/>
      <c r="CC31" s="14"/>
      <c r="CD31" s="14">
        <f t="shared" si="24"/>
        <v>4</v>
      </c>
      <c r="CE31" s="15"/>
      <c r="CF31" s="14"/>
      <c r="CG31" s="14">
        <f t="shared" si="25"/>
        <v>4</v>
      </c>
      <c r="CH31" s="15"/>
      <c r="CI31" s="14"/>
      <c r="CJ31" s="14">
        <f t="shared" si="26"/>
        <v>4</v>
      </c>
      <c r="CK31" s="15"/>
      <c r="CL31" s="14"/>
      <c r="CM31" s="14">
        <f t="shared" si="27"/>
        <v>4</v>
      </c>
      <c r="CN31" s="15"/>
      <c r="CO31" s="14"/>
      <c r="CP31" s="14">
        <f t="shared" si="28"/>
        <v>4</v>
      </c>
      <c r="CQ31" s="15"/>
      <c r="CR31" s="14"/>
      <c r="CS31" s="14">
        <f t="shared" si="29"/>
        <v>4</v>
      </c>
      <c r="CT31" s="15"/>
      <c r="CU31" s="14"/>
      <c r="CV31" s="14">
        <f t="shared" si="30"/>
        <v>4</v>
      </c>
      <c r="CW31" s="15"/>
      <c r="CX31" s="14"/>
      <c r="CY31" s="14">
        <f t="shared" si="31"/>
        <v>4</v>
      </c>
      <c r="CZ31" s="15"/>
      <c r="DA31" s="14"/>
      <c r="DB31" s="14">
        <f t="shared" si="32"/>
        <v>4</v>
      </c>
      <c r="DC31" s="15"/>
      <c r="DD31" s="14"/>
      <c r="DE31" s="14">
        <f t="shared" si="33"/>
        <v>4</v>
      </c>
      <c r="DF31" s="15"/>
      <c r="DG31" s="14"/>
      <c r="DH31" s="14">
        <f t="shared" si="34"/>
        <v>4</v>
      </c>
      <c r="DI31" s="15"/>
      <c r="DJ31" s="14"/>
      <c r="DK31" s="14">
        <f t="shared" si="35"/>
        <v>4</v>
      </c>
      <c r="DL31" s="15"/>
      <c r="DM31" s="14"/>
      <c r="DN31" s="14">
        <f t="shared" si="36"/>
        <v>4</v>
      </c>
      <c r="DO31" s="15"/>
      <c r="DP31" s="14"/>
      <c r="DQ31" s="14">
        <f t="shared" si="37"/>
        <v>4</v>
      </c>
      <c r="DR31" s="15"/>
      <c r="DS31" s="14">
        <v>2</v>
      </c>
      <c r="DT31" s="14">
        <f t="shared" si="38"/>
        <v>2</v>
      </c>
      <c r="DU31" s="15"/>
      <c r="DV31" s="14">
        <v>2</v>
      </c>
      <c r="DW31" s="14">
        <f t="shared" si="39"/>
        <v>0</v>
      </c>
      <c r="DX31" s="17">
        <f t="shared" si="40"/>
        <v>4</v>
      </c>
      <c r="DY31" s="17">
        <f t="shared" si="41"/>
        <v>0</v>
      </c>
      <c r="DZ31" s="1"/>
      <c r="EA31" s="1"/>
    </row>
    <row r="32" spans="1:131" ht="40.5" customHeight="1" x14ac:dyDescent="0.3">
      <c r="A32" s="24"/>
      <c r="B32" s="38" t="s">
        <v>244</v>
      </c>
      <c r="C32" s="30" t="s">
        <v>245</v>
      </c>
      <c r="D32" s="20" t="s">
        <v>246</v>
      </c>
      <c r="E32" s="14" t="s">
        <v>43</v>
      </c>
      <c r="F32" s="14" t="s">
        <v>50</v>
      </c>
      <c r="G32" s="14" t="s">
        <v>247</v>
      </c>
      <c r="H32" s="14">
        <v>6</v>
      </c>
      <c r="I32" s="14"/>
      <c r="J32" s="14">
        <f t="shared" si="0"/>
        <v>6</v>
      </c>
      <c r="K32" s="15"/>
      <c r="L32" s="14"/>
      <c r="M32" s="14">
        <f t="shared" si="1"/>
        <v>6</v>
      </c>
      <c r="N32" s="15"/>
      <c r="O32" s="14"/>
      <c r="P32" s="14">
        <f t="shared" si="2"/>
        <v>6</v>
      </c>
      <c r="Q32" s="15"/>
      <c r="R32" s="14"/>
      <c r="S32" s="14">
        <f t="shared" si="3"/>
        <v>6</v>
      </c>
      <c r="T32" s="15"/>
      <c r="U32" s="14"/>
      <c r="V32" s="14">
        <f t="shared" si="4"/>
        <v>6</v>
      </c>
      <c r="W32" s="15"/>
      <c r="X32" s="14"/>
      <c r="Y32" s="14">
        <f t="shared" si="5"/>
        <v>6</v>
      </c>
      <c r="Z32" s="15"/>
      <c r="AA32" s="14"/>
      <c r="AB32" s="14">
        <f t="shared" si="6"/>
        <v>6</v>
      </c>
      <c r="AC32" s="15"/>
      <c r="AD32" s="14"/>
      <c r="AE32" s="14">
        <f t="shared" si="7"/>
        <v>6</v>
      </c>
      <c r="AF32" s="15"/>
      <c r="AG32" s="14"/>
      <c r="AH32" s="14">
        <f t="shared" si="8"/>
        <v>6</v>
      </c>
      <c r="AI32" s="15"/>
      <c r="AJ32" s="14"/>
      <c r="AK32" s="14">
        <f t="shared" si="9"/>
        <v>6</v>
      </c>
      <c r="AL32" s="15"/>
      <c r="AM32" s="14"/>
      <c r="AN32" s="14">
        <f t="shared" si="10"/>
        <v>6</v>
      </c>
      <c r="AO32" s="15"/>
      <c r="AP32" s="14"/>
      <c r="AQ32" s="14">
        <f t="shared" si="11"/>
        <v>6</v>
      </c>
      <c r="AR32" s="15"/>
      <c r="AS32" s="14"/>
      <c r="AT32" s="14">
        <f t="shared" si="12"/>
        <v>6</v>
      </c>
      <c r="AU32" s="15"/>
      <c r="AV32" s="14"/>
      <c r="AW32" s="14">
        <f t="shared" si="13"/>
        <v>6</v>
      </c>
      <c r="AX32" s="15"/>
      <c r="AY32" s="14"/>
      <c r="AZ32" s="14">
        <f t="shared" si="14"/>
        <v>6</v>
      </c>
      <c r="BA32" s="15"/>
      <c r="BB32" s="14"/>
      <c r="BC32" s="14">
        <f t="shared" si="15"/>
        <v>6</v>
      </c>
      <c r="BD32" s="15"/>
      <c r="BE32" s="14"/>
      <c r="BF32" s="14">
        <f t="shared" si="16"/>
        <v>6</v>
      </c>
      <c r="BG32" s="15"/>
      <c r="BH32" s="14"/>
      <c r="BI32" s="14">
        <f t="shared" si="17"/>
        <v>6</v>
      </c>
      <c r="BJ32" s="15"/>
      <c r="BK32" s="14"/>
      <c r="BL32" s="14">
        <f t="shared" si="18"/>
        <v>6</v>
      </c>
      <c r="BM32" s="15"/>
      <c r="BN32" s="14"/>
      <c r="BO32" s="14">
        <f t="shared" si="19"/>
        <v>6</v>
      </c>
      <c r="BP32" s="15"/>
      <c r="BQ32" s="14"/>
      <c r="BR32" s="14">
        <f t="shared" si="20"/>
        <v>6</v>
      </c>
      <c r="BS32" s="15"/>
      <c r="BT32" s="14"/>
      <c r="BU32" s="14">
        <f t="shared" si="21"/>
        <v>6</v>
      </c>
      <c r="BV32" s="15"/>
      <c r="BW32" s="14"/>
      <c r="BX32" s="14">
        <f t="shared" si="22"/>
        <v>6</v>
      </c>
      <c r="BY32" s="15"/>
      <c r="BZ32" s="14"/>
      <c r="CA32" s="14">
        <f t="shared" si="23"/>
        <v>6</v>
      </c>
      <c r="CB32" s="15"/>
      <c r="CC32" s="14"/>
      <c r="CD32" s="14">
        <f t="shared" si="24"/>
        <v>6</v>
      </c>
      <c r="CE32" s="15"/>
      <c r="CF32" s="14"/>
      <c r="CG32" s="14">
        <f t="shared" si="25"/>
        <v>6</v>
      </c>
      <c r="CH32" s="15"/>
      <c r="CI32" s="14"/>
      <c r="CJ32" s="14">
        <f t="shared" si="26"/>
        <v>6</v>
      </c>
      <c r="CK32" s="15"/>
      <c r="CL32" s="14"/>
      <c r="CM32" s="14">
        <f t="shared" si="27"/>
        <v>6</v>
      </c>
      <c r="CN32" s="15"/>
      <c r="CO32" s="14"/>
      <c r="CP32" s="14">
        <f t="shared" si="28"/>
        <v>6</v>
      </c>
      <c r="CQ32" s="15"/>
      <c r="CR32" s="14"/>
      <c r="CS32" s="14">
        <f t="shared" si="29"/>
        <v>6</v>
      </c>
      <c r="CT32" s="15"/>
      <c r="CU32" s="14"/>
      <c r="CV32" s="14">
        <f t="shared" si="30"/>
        <v>6</v>
      </c>
      <c r="CW32" s="15"/>
      <c r="CX32" s="14"/>
      <c r="CY32" s="14">
        <f t="shared" si="31"/>
        <v>6</v>
      </c>
      <c r="CZ32" s="15"/>
      <c r="DA32" s="14"/>
      <c r="DB32" s="14">
        <f t="shared" si="32"/>
        <v>6</v>
      </c>
      <c r="DC32" s="15"/>
      <c r="DD32" s="14"/>
      <c r="DE32" s="14">
        <f t="shared" si="33"/>
        <v>6</v>
      </c>
      <c r="DF32" s="15"/>
      <c r="DG32" s="14"/>
      <c r="DH32" s="14">
        <f t="shared" si="34"/>
        <v>6</v>
      </c>
      <c r="DI32" s="15"/>
      <c r="DJ32" s="14"/>
      <c r="DK32" s="14">
        <f t="shared" si="35"/>
        <v>6</v>
      </c>
      <c r="DL32" s="15"/>
      <c r="DM32" s="14"/>
      <c r="DN32" s="14">
        <f t="shared" si="36"/>
        <v>6</v>
      </c>
      <c r="DO32" s="15"/>
      <c r="DP32" s="14"/>
      <c r="DQ32" s="14">
        <f t="shared" si="37"/>
        <v>6</v>
      </c>
      <c r="DR32" s="15"/>
      <c r="DS32" s="14">
        <v>3</v>
      </c>
      <c r="DT32" s="14">
        <f t="shared" si="38"/>
        <v>3</v>
      </c>
      <c r="DU32" s="15"/>
      <c r="DV32" s="14">
        <v>3</v>
      </c>
      <c r="DW32" s="14">
        <f t="shared" si="39"/>
        <v>0</v>
      </c>
      <c r="DX32" s="17">
        <f t="shared" si="40"/>
        <v>6</v>
      </c>
      <c r="DY32" s="17">
        <f t="shared" si="41"/>
        <v>0</v>
      </c>
      <c r="DZ32" s="1"/>
      <c r="EA32" s="1"/>
    </row>
    <row r="33" spans="1:131" ht="47.25" customHeight="1" x14ac:dyDescent="0.3">
      <c r="A33" s="24"/>
      <c r="B33" s="32"/>
      <c r="C33" s="32"/>
      <c r="D33" s="20" t="s">
        <v>248</v>
      </c>
      <c r="E33" s="14" t="s">
        <v>49</v>
      </c>
      <c r="F33" s="14" t="s">
        <v>215</v>
      </c>
      <c r="G33" s="14" t="s">
        <v>249</v>
      </c>
      <c r="H33" s="14">
        <v>2</v>
      </c>
      <c r="I33" s="14"/>
      <c r="J33" s="14">
        <f t="shared" si="0"/>
        <v>2</v>
      </c>
      <c r="K33" s="15"/>
      <c r="L33" s="14"/>
      <c r="M33" s="14">
        <f t="shared" si="1"/>
        <v>2</v>
      </c>
      <c r="N33" s="15"/>
      <c r="O33" s="14"/>
      <c r="P33" s="14">
        <f t="shared" si="2"/>
        <v>2</v>
      </c>
      <c r="Q33" s="15"/>
      <c r="R33" s="14"/>
      <c r="S33" s="14">
        <f t="shared" si="3"/>
        <v>2</v>
      </c>
      <c r="T33" s="15"/>
      <c r="U33" s="14"/>
      <c r="V33" s="14">
        <f t="shared" si="4"/>
        <v>2</v>
      </c>
      <c r="W33" s="15"/>
      <c r="X33" s="14"/>
      <c r="Y33" s="14">
        <f t="shared" si="5"/>
        <v>2</v>
      </c>
      <c r="Z33" s="15"/>
      <c r="AA33" s="14"/>
      <c r="AB33" s="14">
        <f t="shared" si="6"/>
        <v>2</v>
      </c>
      <c r="AC33" s="15"/>
      <c r="AD33" s="14"/>
      <c r="AE33" s="14">
        <f t="shared" si="7"/>
        <v>2</v>
      </c>
      <c r="AF33" s="15"/>
      <c r="AG33" s="14"/>
      <c r="AH33" s="14">
        <f t="shared" si="8"/>
        <v>2</v>
      </c>
      <c r="AI33" s="15"/>
      <c r="AJ33" s="14"/>
      <c r="AK33" s="14">
        <f t="shared" si="9"/>
        <v>2</v>
      </c>
      <c r="AL33" s="15"/>
      <c r="AM33" s="14"/>
      <c r="AN33" s="14">
        <f t="shared" si="10"/>
        <v>2</v>
      </c>
      <c r="AO33" s="15"/>
      <c r="AP33" s="14"/>
      <c r="AQ33" s="14">
        <f t="shared" si="11"/>
        <v>2</v>
      </c>
      <c r="AR33" s="15"/>
      <c r="AS33" s="14"/>
      <c r="AT33" s="14">
        <f t="shared" si="12"/>
        <v>2</v>
      </c>
      <c r="AU33" s="15"/>
      <c r="AV33" s="14"/>
      <c r="AW33" s="14">
        <f t="shared" si="13"/>
        <v>2</v>
      </c>
      <c r="AX33" s="15"/>
      <c r="AY33" s="14"/>
      <c r="AZ33" s="14">
        <f t="shared" si="14"/>
        <v>2</v>
      </c>
      <c r="BA33" s="15"/>
      <c r="BB33" s="14"/>
      <c r="BC33" s="14">
        <f t="shared" si="15"/>
        <v>2</v>
      </c>
      <c r="BD33" s="15"/>
      <c r="BE33" s="14"/>
      <c r="BF33" s="14">
        <f t="shared" si="16"/>
        <v>2</v>
      </c>
      <c r="BG33" s="15"/>
      <c r="BH33" s="14"/>
      <c r="BI33" s="14">
        <f t="shared" si="17"/>
        <v>2</v>
      </c>
      <c r="BJ33" s="15"/>
      <c r="BK33" s="14"/>
      <c r="BL33" s="14">
        <f t="shared" si="18"/>
        <v>2</v>
      </c>
      <c r="BM33" s="15"/>
      <c r="BN33" s="14"/>
      <c r="BO33" s="14">
        <f t="shared" si="19"/>
        <v>2</v>
      </c>
      <c r="BP33" s="15"/>
      <c r="BQ33" s="14"/>
      <c r="BR33" s="14">
        <f t="shared" si="20"/>
        <v>2</v>
      </c>
      <c r="BS33" s="15"/>
      <c r="BT33" s="14"/>
      <c r="BU33" s="14">
        <f t="shared" si="21"/>
        <v>2</v>
      </c>
      <c r="BV33" s="15"/>
      <c r="BW33" s="14"/>
      <c r="BX33" s="14">
        <f t="shared" si="22"/>
        <v>2</v>
      </c>
      <c r="BY33" s="15"/>
      <c r="BZ33" s="14"/>
      <c r="CA33" s="14">
        <f t="shared" si="23"/>
        <v>2</v>
      </c>
      <c r="CB33" s="15"/>
      <c r="CC33" s="14"/>
      <c r="CD33" s="14">
        <f t="shared" si="24"/>
        <v>2</v>
      </c>
      <c r="CE33" s="15"/>
      <c r="CF33" s="14"/>
      <c r="CG33" s="14">
        <f t="shared" si="25"/>
        <v>2</v>
      </c>
      <c r="CH33" s="15"/>
      <c r="CI33" s="14"/>
      <c r="CJ33" s="14">
        <f t="shared" si="26"/>
        <v>2</v>
      </c>
      <c r="CK33" s="15"/>
      <c r="CL33" s="14"/>
      <c r="CM33" s="14">
        <f t="shared" si="27"/>
        <v>2</v>
      </c>
      <c r="CN33" s="15"/>
      <c r="CO33" s="14"/>
      <c r="CP33" s="14">
        <f t="shared" si="28"/>
        <v>2</v>
      </c>
      <c r="CQ33" s="15"/>
      <c r="CR33" s="14"/>
      <c r="CS33" s="14">
        <f t="shared" si="29"/>
        <v>2</v>
      </c>
      <c r="CT33" s="15"/>
      <c r="CU33" s="14"/>
      <c r="CV33" s="14">
        <f t="shared" si="30"/>
        <v>2</v>
      </c>
      <c r="CW33" s="15"/>
      <c r="CX33" s="14"/>
      <c r="CY33" s="14">
        <f t="shared" si="31"/>
        <v>2</v>
      </c>
      <c r="CZ33" s="15"/>
      <c r="DA33" s="14"/>
      <c r="DB33" s="14">
        <f t="shared" si="32"/>
        <v>2</v>
      </c>
      <c r="DC33" s="15"/>
      <c r="DD33" s="14"/>
      <c r="DE33" s="14">
        <f t="shared" si="33"/>
        <v>2</v>
      </c>
      <c r="DF33" s="15"/>
      <c r="DG33" s="14"/>
      <c r="DH33" s="14">
        <f t="shared" si="34"/>
        <v>2</v>
      </c>
      <c r="DI33" s="15"/>
      <c r="DJ33" s="14"/>
      <c r="DK33" s="14">
        <f t="shared" si="35"/>
        <v>2</v>
      </c>
      <c r="DL33" s="15"/>
      <c r="DM33" s="14"/>
      <c r="DN33" s="14">
        <f t="shared" si="36"/>
        <v>2</v>
      </c>
      <c r="DO33" s="15"/>
      <c r="DP33" s="14"/>
      <c r="DQ33" s="14">
        <f t="shared" si="37"/>
        <v>2</v>
      </c>
      <c r="DR33" s="15"/>
      <c r="DS33" s="14"/>
      <c r="DT33" s="14">
        <f t="shared" si="38"/>
        <v>2</v>
      </c>
      <c r="DU33" s="15"/>
      <c r="DV33" s="14"/>
      <c r="DW33" s="14">
        <f t="shared" si="39"/>
        <v>2</v>
      </c>
      <c r="DX33" s="17">
        <f t="shared" si="40"/>
        <v>0</v>
      </c>
      <c r="DY33" s="17">
        <f t="shared" si="41"/>
        <v>2</v>
      </c>
      <c r="DZ33" s="1"/>
      <c r="EA33" s="1"/>
    </row>
    <row r="34" spans="1:131" ht="15.75" customHeight="1" x14ac:dyDescent="0.3">
      <c r="A34" s="1"/>
      <c r="B34" s="25"/>
      <c r="C34" s="25"/>
      <c r="D34" s="25"/>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row>
    <row r="35" spans="1:131"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row>
    <row r="36" spans="1:131"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row>
    <row r="37" spans="1:131"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row>
    <row r="38" spans="1:131"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row>
    <row r="39" spans="1:131"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row>
    <row r="40" spans="1:131"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row>
    <row r="41" spans="1:131"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row>
    <row r="42" spans="1:131"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row>
    <row r="43" spans="1:131"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row>
    <row r="44" spans="1:131"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row>
    <row r="45" spans="1:131"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row>
    <row r="46" spans="1:131"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row>
    <row r="47" spans="1:131"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row>
    <row r="48" spans="1:131"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row>
    <row r="49" spans="1:131"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row>
    <row r="50" spans="1:131"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row>
    <row r="51" spans="1:131"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row>
    <row r="52" spans="1:131"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row>
    <row r="53" spans="1:131"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row>
    <row r="54" spans="1:131"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row>
    <row r="55" spans="1:131"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row>
    <row r="56" spans="1:131"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row>
    <row r="57" spans="1:131"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row>
    <row r="58" spans="1:131"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row>
    <row r="59" spans="1:131"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row>
    <row r="60" spans="1:131"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row>
    <row r="61" spans="1:131"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row>
    <row r="62" spans="1:131"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row>
    <row r="63" spans="1:131"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row>
    <row r="64" spans="1:131"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row>
    <row r="65" spans="1:131"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row>
    <row r="66" spans="1:131"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row>
    <row r="67" spans="1:131"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row>
    <row r="68" spans="1:131"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row>
    <row r="69" spans="1:131"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row>
    <row r="70" spans="1:131"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row>
    <row r="71" spans="1:131"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row>
    <row r="72" spans="1:131"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row>
    <row r="73" spans="1:131"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row>
    <row r="74" spans="1:131"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row>
    <row r="75" spans="1:131"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row>
    <row r="76" spans="1:131"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row>
    <row r="77" spans="1:131"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row>
    <row r="78" spans="1:131"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row>
    <row r="79" spans="1:131"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row>
    <row r="80" spans="1:131"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row>
    <row r="81" spans="1:131"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row>
    <row r="82" spans="1:131"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row>
    <row r="83" spans="1:131"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row>
    <row r="84" spans="1:131"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row>
    <row r="85" spans="1:131"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row>
    <row r="86" spans="1:131"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row>
    <row r="87" spans="1:131"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row>
    <row r="88" spans="1:131"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row>
    <row r="89" spans="1:131"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row>
    <row r="90" spans="1:131"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row>
    <row r="91" spans="1:131"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row>
    <row r="92" spans="1:131"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row>
    <row r="93" spans="1:131"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row>
    <row r="94" spans="1:131"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row>
    <row r="95" spans="1:131"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row>
    <row r="96" spans="1:131"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row>
    <row r="97" spans="1:131"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row>
    <row r="98" spans="1:131"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row>
    <row r="99" spans="1:131"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row>
    <row r="100" spans="1:131"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row>
    <row r="101" spans="1:131"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row>
    <row r="102" spans="1:131"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row>
    <row r="103" spans="1:131"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row>
    <row r="104" spans="1:131"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row>
    <row r="105" spans="1:131"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row>
    <row r="106" spans="1:131"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row>
    <row r="107" spans="1:131"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row>
    <row r="108" spans="1:131"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row>
    <row r="109" spans="1:131"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row>
    <row r="110" spans="1:131"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row>
    <row r="111" spans="1:131"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row>
    <row r="112" spans="1:131"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row>
    <row r="113" spans="1:131"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row>
    <row r="114" spans="1:131"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row>
    <row r="115" spans="1:131"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row>
    <row r="116" spans="1:131"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row>
    <row r="117" spans="1:131"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row>
    <row r="118" spans="1:131"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row>
    <row r="119" spans="1:131"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row>
    <row r="120" spans="1:131"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row>
    <row r="121" spans="1:131"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row>
    <row r="122" spans="1:131"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row>
    <row r="123" spans="1:131"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row>
    <row r="124" spans="1:131"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row>
    <row r="125" spans="1:131"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row>
    <row r="126" spans="1:131"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row>
    <row r="127" spans="1:131"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row>
    <row r="128" spans="1:131"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row>
    <row r="129" spans="1:131"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row>
    <row r="130" spans="1:131"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row>
    <row r="131" spans="1:131"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row>
    <row r="132" spans="1:131"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row>
    <row r="133" spans="1:131"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row>
    <row r="134" spans="1:131"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row>
    <row r="135" spans="1:131"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row>
    <row r="136" spans="1:131"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row>
    <row r="137" spans="1:131"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row>
    <row r="138" spans="1:131"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row>
    <row r="139" spans="1:131"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row>
    <row r="140" spans="1:131"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row>
    <row r="141" spans="1:131"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row>
    <row r="142" spans="1:131"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row>
    <row r="143" spans="1:131"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row>
    <row r="144" spans="1:131"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row>
    <row r="145" spans="1:131"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row>
    <row r="146" spans="1:131"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row>
    <row r="147" spans="1:131"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row>
    <row r="148" spans="1:131"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row>
    <row r="149" spans="1:131"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row>
    <row r="150" spans="1:131"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row>
    <row r="151" spans="1:131"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row>
    <row r="152" spans="1:131"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row>
    <row r="153" spans="1:131"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row>
    <row r="154" spans="1:131"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row>
    <row r="155" spans="1:131"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row>
    <row r="156" spans="1:131"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row>
    <row r="157" spans="1:131"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row>
    <row r="158" spans="1:131"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row>
    <row r="159" spans="1:131"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row>
    <row r="160" spans="1:131"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row>
    <row r="161" spans="1:131"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row>
    <row r="162" spans="1:131"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row>
    <row r="163" spans="1:131"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row>
    <row r="164" spans="1:131"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row>
    <row r="165" spans="1:131"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row>
    <row r="166" spans="1:131"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row>
    <row r="167" spans="1:131"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row>
    <row r="168" spans="1:131"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row>
    <row r="169" spans="1:131"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row>
    <row r="170" spans="1:131"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row>
    <row r="171" spans="1:131"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row>
    <row r="172" spans="1:131"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row>
    <row r="173" spans="1:131"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row>
    <row r="174" spans="1:131"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row>
    <row r="175" spans="1:131"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row>
    <row r="176" spans="1:131"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row>
    <row r="177" spans="1:131"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row>
    <row r="178" spans="1:131"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row>
    <row r="179" spans="1:131"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row>
    <row r="180" spans="1:131"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row>
    <row r="181" spans="1:131"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row>
    <row r="182" spans="1:131"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row>
    <row r="183" spans="1:131"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row>
    <row r="184" spans="1:131"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row>
    <row r="185" spans="1:131"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row>
    <row r="186" spans="1:131"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row>
    <row r="187" spans="1:131"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row>
    <row r="188" spans="1:131"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row>
    <row r="189" spans="1:131"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row>
    <row r="190" spans="1:131"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row>
    <row r="191" spans="1:131"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row>
    <row r="192" spans="1:131"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row>
    <row r="193" spans="1:131"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row>
    <row r="194" spans="1:131"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row>
    <row r="195" spans="1:131"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row>
    <row r="196" spans="1:131"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row>
    <row r="197" spans="1:131"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row>
    <row r="198" spans="1:131"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row>
    <row r="199" spans="1:131"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row>
    <row r="200" spans="1:131"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row>
    <row r="201" spans="1:131"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row>
    <row r="202" spans="1:131"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row>
    <row r="203" spans="1:131"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row>
    <row r="204" spans="1:131"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row>
    <row r="205" spans="1:131"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row>
    <row r="206" spans="1:131"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row>
    <row r="207" spans="1:131"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row>
    <row r="208" spans="1:131"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row>
    <row r="209" spans="1:131"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row>
    <row r="210" spans="1:131"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row>
    <row r="211" spans="1:131"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row>
    <row r="212" spans="1:131"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row>
    <row r="213" spans="1:131"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row>
    <row r="214" spans="1:131"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row>
    <row r="215" spans="1:131"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row>
    <row r="216" spans="1:131"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row>
    <row r="217" spans="1:131"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row>
    <row r="218" spans="1:131"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row>
    <row r="219" spans="1:131"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row>
    <row r="220" spans="1:131"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row>
    <row r="221" spans="1:131"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row>
    <row r="222" spans="1:131"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row>
    <row r="223" spans="1:131"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row>
    <row r="224" spans="1:131"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row>
    <row r="225" spans="1:131"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row>
  </sheetData>
  <mergeCells count="55">
    <mergeCell ref="B16:B22"/>
    <mergeCell ref="C16:C22"/>
    <mergeCell ref="C23:C27"/>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BN4:BO4"/>
    <mergeCell ref="BQ4:BR4"/>
    <mergeCell ref="BT4:BU4"/>
    <mergeCell ref="BW4:BX4"/>
    <mergeCell ref="BZ4:CA4"/>
    <mergeCell ref="CC4:CD4"/>
    <mergeCell ref="CF4:CG4"/>
    <mergeCell ref="DD4:DE4"/>
    <mergeCell ref="DG4:DH4"/>
    <mergeCell ref="DJ4:DK4"/>
    <mergeCell ref="DM4:DN4"/>
    <mergeCell ref="DP4:DQ4"/>
    <mergeCell ref="DS4:DT4"/>
    <mergeCell ref="DV4:DW4"/>
    <mergeCell ref="DX4:DY4"/>
    <mergeCell ref="CI4:CJ4"/>
    <mergeCell ref="CL4:CM4"/>
    <mergeCell ref="CO4:CP4"/>
    <mergeCell ref="CR4:CS4"/>
    <mergeCell ref="CU4:CV4"/>
    <mergeCell ref="CX4:CY4"/>
    <mergeCell ref="DA4:DB4"/>
    <mergeCell ref="R4:S4"/>
    <mergeCell ref="U4:V4"/>
    <mergeCell ref="C28:C31"/>
    <mergeCell ref="C32:C33"/>
    <mergeCell ref="B2:C2"/>
    <mergeCell ref="B3:C3"/>
    <mergeCell ref="I4:J4"/>
    <mergeCell ref="L4:M4"/>
    <mergeCell ref="O4:P4"/>
    <mergeCell ref="B23:B27"/>
    <mergeCell ref="B28:B31"/>
    <mergeCell ref="B32:B33"/>
    <mergeCell ref="B6:B8"/>
    <mergeCell ref="C6:C8"/>
    <mergeCell ref="B9:B15"/>
    <mergeCell ref="C9:C15"/>
  </mergeCells>
  <dataValidations count="2">
    <dataValidation type="list" allowBlank="1" showErrorMessage="1" sqref="E6:E33" xr:uid="{00000000-0002-0000-0100-000000000000}">
      <formula1>"Antonia Lizana,Marcelo Valladares"</formula1>
    </dataValidation>
    <dataValidation type="list" allowBlank="1" showErrorMessage="1" sqref="F6:F33" xr:uid="{00000000-0002-0000-0100-000001000000}">
      <formula1>"Nuevo,En progreso,Listo para probar,Cerrado,Se necesita info"</formula1>
    </dataValidation>
  </dataValidations>
  <pageMargins left="0.62992125984251968" right="0.62992125984251968" top="0.74803149606299213" bottom="0.74803149606299213" header="0" footer="0"/>
  <pageSetup paperSize="9" orientation="landscape"/>
  <colBreaks count="4" manualBreakCount="4">
    <brk id="98" man="1"/>
    <brk id="53" man="1"/>
    <brk id="37" man="1"/>
    <brk id="22"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CD998"/>
  <sheetViews>
    <sheetView workbookViewId="0">
      <pane xSplit="6" ySplit="5" topLeftCell="G6" activePane="bottomRight" state="frozen"/>
      <selection pane="topRight" activeCell="G1" sqref="G1"/>
      <selection pane="bottomLeft" activeCell="A6" sqref="A6"/>
      <selection pane="bottomRight" activeCell="G6" sqref="G6"/>
    </sheetView>
  </sheetViews>
  <sheetFormatPr baseColWidth="10" defaultColWidth="12.59765625" defaultRowHeight="15" customHeight="1" x14ac:dyDescent="0.25"/>
  <cols>
    <col min="1" max="1" width="1.19921875" customWidth="1"/>
    <col min="2" max="2" width="14.3984375" customWidth="1"/>
    <col min="3" max="3" width="32.59765625" customWidth="1"/>
    <col min="4" max="4" width="31" customWidth="1"/>
    <col min="5" max="5" width="21.19921875" customWidth="1"/>
    <col min="6" max="6" width="18.19921875" customWidth="1"/>
    <col min="7" max="8" width="13.5" customWidth="1"/>
    <col min="9" max="9" width="5.09765625" customWidth="1"/>
    <col min="10" max="10" width="4.69921875" customWidth="1"/>
    <col min="11" max="11" width="2.3984375" customWidth="1"/>
    <col min="12" max="12" width="5.09765625" customWidth="1"/>
    <col min="13" max="13" width="4.69921875" customWidth="1"/>
    <col min="14" max="14" width="2.3984375" customWidth="1"/>
    <col min="15" max="15" width="5.09765625" customWidth="1"/>
    <col min="16" max="16" width="4.69921875" customWidth="1"/>
    <col min="17" max="17" width="2.3984375" customWidth="1"/>
    <col min="18" max="18" width="5.09765625" customWidth="1"/>
    <col min="19" max="19" width="4.69921875" customWidth="1"/>
    <col min="20" max="20" width="2.3984375" customWidth="1"/>
    <col min="21" max="21" width="5.09765625" customWidth="1"/>
    <col min="22" max="22" width="4.69921875" customWidth="1"/>
    <col min="23" max="23" width="2.3984375" customWidth="1"/>
    <col min="24" max="24" width="5.09765625" customWidth="1"/>
    <col min="25" max="25" width="4.69921875" customWidth="1"/>
    <col min="26" max="26" width="2.3984375" customWidth="1"/>
    <col min="27" max="27" width="5.09765625" customWidth="1"/>
    <col min="28" max="28" width="4.69921875" customWidth="1"/>
    <col min="29" max="29" width="2.3984375" customWidth="1"/>
    <col min="30" max="30" width="5.09765625" customWidth="1"/>
    <col min="31" max="31" width="4.69921875" customWidth="1"/>
    <col min="32" max="32" width="2.3984375" customWidth="1"/>
    <col min="33" max="33" width="5.09765625" customWidth="1"/>
    <col min="34" max="34" width="4.69921875" customWidth="1"/>
    <col min="35" max="35" width="2.3984375" customWidth="1"/>
    <col min="36" max="36" width="5.09765625" customWidth="1"/>
    <col min="37" max="37" width="4.69921875" customWidth="1"/>
    <col min="38" max="38" width="2.3984375" customWidth="1"/>
    <col min="39" max="39" width="5.09765625" customWidth="1"/>
    <col min="40" max="40" width="4.69921875" customWidth="1"/>
    <col min="41" max="41" width="2.3984375" customWidth="1"/>
    <col min="42" max="42" width="5.09765625" customWidth="1"/>
    <col min="43" max="43" width="4.69921875" customWidth="1"/>
    <col min="44" max="44" width="2.3984375" customWidth="1"/>
    <col min="45" max="45" width="5.09765625" customWidth="1"/>
    <col min="46" max="46" width="4.69921875" customWidth="1"/>
    <col min="47" max="47" width="2.3984375" customWidth="1"/>
    <col min="48" max="48" width="5.09765625" customWidth="1"/>
    <col min="49" max="49" width="4.69921875" customWidth="1"/>
    <col min="50" max="50" width="2.3984375" customWidth="1"/>
    <col min="51" max="51" width="5.09765625" customWidth="1"/>
    <col min="52" max="52" width="4.69921875" customWidth="1"/>
    <col min="53" max="53" width="2.3984375" customWidth="1"/>
    <col min="54" max="54" width="5.09765625" customWidth="1"/>
    <col min="55" max="55" width="4.69921875" customWidth="1"/>
    <col min="56" max="56" width="2.3984375" customWidth="1"/>
    <col min="57" max="57" width="5.09765625" customWidth="1"/>
    <col min="58" max="58" width="4.69921875" customWidth="1"/>
    <col min="59" max="59" width="2.3984375" customWidth="1"/>
    <col min="60" max="60" width="5.09765625" customWidth="1"/>
    <col min="61" max="61" width="4.69921875" customWidth="1"/>
    <col min="62" max="62" width="2.3984375" customWidth="1"/>
    <col min="63" max="63" width="5.09765625" customWidth="1"/>
    <col min="64" max="64" width="4.69921875" customWidth="1"/>
    <col min="65" max="65" width="2.3984375" customWidth="1"/>
    <col min="66" max="66" width="5.09765625" customWidth="1"/>
    <col min="67" max="67" width="4.69921875" customWidth="1"/>
    <col min="68" max="68" width="2.3984375" customWidth="1"/>
    <col min="69" max="69" width="4.8984375" customWidth="1"/>
    <col min="70" max="70" width="5.09765625" customWidth="1"/>
    <col min="71" max="71" width="2.5" customWidth="1"/>
    <col min="72" max="72" width="5.09765625" customWidth="1"/>
    <col min="73" max="73" width="4.69921875" customWidth="1"/>
    <col min="74" max="74" width="1.69921875" customWidth="1"/>
    <col min="75" max="75" width="6.09765625" customWidth="1"/>
    <col min="76" max="76" width="4.69921875" customWidth="1"/>
    <col min="77" max="77" width="2.09765625" customWidth="1"/>
    <col min="78" max="79" width="4.69921875" customWidth="1"/>
    <col min="80" max="80" width="2.09765625" customWidth="1"/>
    <col min="81" max="82" width="4.69921875" customWidth="1"/>
  </cols>
  <sheetData>
    <row r="1" spans="1:82" ht="28.8" x14ac:dyDescent="0.55000000000000004">
      <c r="A1" s="1"/>
      <c r="B1" s="3"/>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row>
    <row r="2" spans="1:82" ht="28.8" x14ac:dyDescent="0.55000000000000004">
      <c r="A2" s="1"/>
      <c r="B2" s="33" t="s">
        <v>0</v>
      </c>
      <c r="C2" s="34"/>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row>
    <row r="3" spans="1:82" ht="21" x14ac:dyDescent="0.4">
      <c r="A3" s="1"/>
      <c r="B3" s="35" t="s">
        <v>3</v>
      </c>
      <c r="C3" s="34"/>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row>
    <row r="4" spans="1:82" ht="14.4" x14ac:dyDescent="0.3">
      <c r="A4" s="1"/>
      <c r="B4" s="1"/>
      <c r="C4" s="1"/>
      <c r="D4" s="1"/>
      <c r="E4" s="1"/>
      <c r="F4" s="1"/>
      <c r="G4" s="2"/>
      <c r="H4" s="5">
        <v>46305</v>
      </c>
      <c r="I4" s="36" t="s">
        <v>4</v>
      </c>
      <c r="J4" s="29"/>
      <c r="K4" s="7"/>
      <c r="L4" s="28" t="s">
        <v>6</v>
      </c>
      <c r="M4" s="29"/>
      <c r="N4" s="7"/>
      <c r="O4" s="28" t="s">
        <v>7</v>
      </c>
      <c r="P4" s="29"/>
      <c r="Q4" s="7"/>
      <c r="R4" s="28" t="s">
        <v>8</v>
      </c>
      <c r="S4" s="29"/>
      <c r="T4" s="7"/>
      <c r="U4" s="28" t="s">
        <v>9</v>
      </c>
      <c r="V4" s="29"/>
      <c r="W4" s="7"/>
      <c r="X4" s="28" t="s">
        <v>10</v>
      </c>
      <c r="Y4" s="29"/>
      <c r="Z4" s="7"/>
      <c r="AA4" s="28" t="s">
        <v>12</v>
      </c>
      <c r="AB4" s="29"/>
      <c r="AC4" s="7"/>
      <c r="AD4" s="28" t="s">
        <v>13</v>
      </c>
      <c r="AE4" s="29"/>
      <c r="AF4" s="7"/>
      <c r="AG4" s="28" t="s">
        <v>14</v>
      </c>
      <c r="AH4" s="29"/>
      <c r="AI4" s="7"/>
      <c r="AJ4" s="28" t="s">
        <v>15</v>
      </c>
      <c r="AK4" s="29"/>
      <c r="AL4" s="7"/>
      <c r="AM4" s="28" t="s">
        <v>16</v>
      </c>
      <c r="AN4" s="29"/>
      <c r="AO4" s="7"/>
      <c r="AP4" s="28" t="s">
        <v>17</v>
      </c>
      <c r="AQ4" s="29"/>
      <c r="AR4" s="7"/>
      <c r="AS4" s="28" t="s">
        <v>19</v>
      </c>
      <c r="AT4" s="29"/>
      <c r="AU4" s="7"/>
      <c r="AV4" s="28" t="s">
        <v>20</v>
      </c>
      <c r="AW4" s="29"/>
      <c r="AX4" s="7"/>
      <c r="AY4" s="28" t="s">
        <v>21</v>
      </c>
      <c r="AZ4" s="29"/>
      <c r="BA4" s="7"/>
      <c r="BB4" s="28" t="s">
        <v>22</v>
      </c>
      <c r="BC4" s="29"/>
      <c r="BD4" s="7"/>
      <c r="BE4" s="28" t="s">
        <v>23</v>
      </c>
      <c r="BF4" s="29"/>
      <c r="BG4" s="7"/>
      <c r="BH4" s="28" t="s">
        <v>24</v>
      </c>
      <c r="BI4" s="29"/>
      <c r="BJ4" s="7"/>
      <c r="BK4" s="28" t="s">
        <v>25</v>
      </c>
      <c r="BL4" s="29"/>
      <c r="BM4" s="7"/>
      <c r="BN4" s="28" t="s">
        <v>26</v>
      </c>
      <c r="BO4" s="29"/>
      <c r="BP4" s="7"/>
      <c r="BQ4" s="37" t="s">
        <v>27</v>
      </c>
      <c r="BR4" s="29"/>
      <c r="BS4" s="7"/>
      <c r="BT4" s="37" t="s">
        <v>28</v>
      </c>
      <c r="BU4" s="29"/>
      <c r="BV4" s="7"/>
      <c r="BW4" s="28" t="s">
        <v>29</v>
      </c>
      <c r="BX4" s="29"/>
    </row>
    <row r="5" spans="1:82" ht="43.2" x14ac:dyDescent="0.3">
      <c r="A5" s="1"/>
      <c r="B5" s="9" t="s">
        <v>30</v>
      </c>
      <c r="C5" s="9" t="s">
        <v>31</v>
      </c>
      <c r="D5" s="9" t="s">
        <v>32</v>
      </c>
      <c r="E5" s="9" t="s">
        <v>33</v>
      </c>
      <c r="F5" s="9" t="s">
        <v>34</v>
      </c>
      <c r="G5" s="10" t="s">
        <v>35</v>
      </c>
      <c r="H5" s="11" t="s">
        <v>36</v>
      </c>
      <c r="I5" s="11" t="s">
        <v>37</v>
      </c>
      <c r="J5" s="11" t="s">
        <v>38</v>
      </c>
      <c r="K5" s="11"/>
      <c r="L5" s="11" t="s">
        <v>37</v>
      </c>
      <c r="M5" s="11" t="s">
        <v>38</v>
      </c>
      <c r="N5" s="11"/>
      <c r="O5" s="11" t="s">
        <v>37</v>
      </c>
      <c r="P5" s="11" t="s">
        <v>38</v>
      </c>
      <c r="Q5" s="11"/>
      <c r="R5" s="11" t="s">
        <v>37</v>
      </c>
      <c r="S5" s="11" t="s">
        <v>38</v>
      </c>
      <c r="T5" s="11"/>
      <c r="U5" s="11" t="s">
        <v>37</v>
      </c>
      <c r="V5" s="11" t="s">
        <v>38</v>
      </c>
      <c r="W5" s="11"/>
      <c r="X5" s="11" t="s">
        <v>37</v>
      </c>
      <c r="Y5" s="11" t="s">
        <v>38</v>
      </c>
      <c r="Z5" s="11"/>
      <c r="AA5" s="11" t="s">
        <v>37</v>
      </c>
      <c r="AB5" s="11" t="s">
        <v>38</v>
      </c>
      <c r="AC5" s="11"/>
      <c r="AD5" s="11" t="s">
        <v>37</v>
      </c>
      <c r="AE5" s="11" t="s">
        <v>38</v>
      </c>
      <c r="AF5" s="11"/>
      <c r="AG5" s="11" t="s">
        <v>37</v>
      </c>
      <c r="AH5" s="11" t="s">
        <v>38</v>
      </c>
      <c r="AI5" s="11"/>
      <c r="AJ5" s="11" t="s">
        <v>37</v>
      </c>
      <c r="AK5" s="11" t="s">
        <v>38</v>
      </c>
      <c r="AL5" s="11"/>
      <c r="AM5" s="11" t="s">
        <v>37</v>
      </c>
      <c r="AN5" s="11" t="s">
        <v>38</v>
      </c>
      <c r="AO5" s="11"/>
      <c r="AP5" s="11" t="s">
        <v>37</v>
      </c>
      <c r="AQ5" s="11" t="s">
        <v>38</v>
      </c>
      <c r="AR5" s="11"/>
      <c r="AS5" s="11" t="s">
        <v>37</v>
      </c>
      <c r="AT5" s="11" t="s">
        <v>38</v>
      </c>
      <c r="AU5" s="11"/>
      <c r="AV5" s="11" t="s">
        <v>37</v>
      </c>
      <c r="AW5" s="11" t="s">
        <v>38</v>
      </c>
      <c r="AX5" s="11"/>
      <c r="AY5" s="11" t="s">
        <v>37</v>
      </c>
      <c r="AZ5" s="11" t="s">
        <v>38</v>
      </c>
      <c r="BA5" s="11"/>
      <c r="BB5" s="11" t="s">
        <v>37</v>
      </c>
      <c r="BC5" s="11" t="s">
        <v>38</v>
      </c>
      <c r="BD5" s="11"/>
      <c r="BE5" s="11" t="s">
        <v>37</v>
      </c>
      <c r="BF5" s="11" t="s">
        <v>38</v>
      </c>
      <c r="BG5" s="11"/>
      <c r="BH5" s="11" t="s">
        <v>37</v>
      </c>
      <c r="BI5" s="11" t="s">
        <v>38</v>
      </c>
      <c r="BJ5" s="11"/>
      <c r="BK5" s="11" t="s">
        <v>37</v>
      </c>
      <c r="BL5" s="11" t="s">
        <v>38</v>
      </c>
      <c r="BM5" s="11"/>
      <c r="BN5" s="11" t="s">
        <v>37</v>
      </c>
      <c r="BO5" s="11" t="s">
        <v>38</v>
      </c>
      <c r="BP5" s="11"/>
      <c r="BQ5" s="11" t="s">
        <v>37</v>
      </c>
      <c r="BR5" s="11" t="s">
        <v>38</v>
      </c>
      <c r="BS5" s="11"/>
      <c r="BT5" s="11" t="s">
        <v>37</v>
      </c>
      <c r="BU5" s="11" t="s">
        <v>38</v>
      </c>
      <c r="BV5" s="11"/>
      <c r="BW5" s="11" t="s">
        <v>37</v>
      </c>
      <c r="BX5" s="11" t="s">
        <v>38</v>
      </c>
    </row>
    <row r="6" spans="1:82" ht="42" customHeight="1" x14ac:dyDescent="0.3">
      <c r="A6" s="1"/>
      <c r="B6" s="38" t="s">
        <v>39</v>
      </c>
      <c r="C6" s="38" t="s">
        <v>40</v>
      </c>
      <c r="D6" s="12" t="s">
        <v>41</v>
      </c>
      <c r="E6" s="14" t="s">
        <v>43</v>
      </c>
      <c r="F6" s="14" t="s">
        <v>44</v>
      </c>
      <c r="G6" s="14" t="s">
        <v>45</v>
      </c>
      <c r="H6" s="14">
        <v>2</v>
      </c>
      <c r="I6" s="14"/>
      <c r="J6" s="14">
        <f t="shared" ref="J6:J14" si="0">H6-I6</f>
        <v>2</v>
      </c>
      <c r="K6" s="15"/>
      <c r="L6" s="14"/>
      <c r="M6" s="14">
        <f t="shared" ref="M6:M14" si="1">J6-L6</f>
        <v>2</v>
      </c>
      <c r="N6" s="15"/>
      <c r="O6" s="14"/>
      <c r="P6" s="14">
        <f t="shared" ref="P6:P14" si="2">M6-O6</f>
        <v>2</v>
      </c>
      <c r="Q6" s="15"/>
      <c r="R6" s="14"/>
      <c r="S6" s="14">
        <f t="shared" ref="S6:S14" si="3">P6-R6</f>
        <v>2</v>
      </c>
      <c r="T6" s="15"/>
      <c r="U6" s="14"/>
      <c r="V6" s="14">
        <f t="shared" ref="V6:V14" si="4">S6-U6</f>
        <v>2</v>
      </c>
      <c r="W6" s="15"/>
      <c r="X6" s="14"/>
      <c r="Y6" s="14">
        <f t="shared" ref="Y6:Y14" si="5">V6-X6</f>
        <v>2</v>
      </c>
      <c r="Z6" s="15"/>
      <c r="AA6" s="14"/>
      <c r="AB6" s="14">
        <f t="shared" ref="AB6:AB14" si="6">Y6-AA6</f>
        <v>2</v>
      </c>
      <c r="AC6" s="15"/>
      <c r="AD6" s="14"/>
      <c r="AE6" s="14">
        <f t="shared" ref="AE6:AE14" si="7">AB6-AD6</f>
        <v>2</v>
      </c>
      <c r="AF6" s="15"/>
      <c r="AG6" s="14"/>
      <c r="AH6" s="14">
        <f t="shared" ref="AH6:AH14" si="8">AE6-AG6</f>
        <v>2</v>
      </c>
      <c r="AI6" s="15"/>
      <c r="AJ6" s="14"/>
      <c r="AK6" s="14">
        <f t="shared" ref="AK6:AK14" si="9">AH6-AJ6</f>
        <v>2</v>
      </c>
      <c r="AL6" s="15"/>
      <c r="AM6" s="14"/>
      <c r="AN6" s="14">
        <f t="shared" ref="AN6:AN14" si="10">AK6-AM6</f>
        <v>2</v>
      </c>
      <c r="AO6" s="15"/>
      <c r="AP6" s="14"/>
      <c r="AQ6" s="14">
        <f t="shared" ref="AQ6:AQ14" si="11">AN6-AP6</f>
        <v>2</v>
      </c>
      <c r="AR6" s="15"/>
      <c r="AS6" s="14"/>
      <c r="AT6" s="14">
        <f t="shared" ref="AT6:AT14" si="12">AQ6-AS6</f>
        <v>2</v>
      </c>
      <c r="AU6" s="15"/>
      <c r="AV6" s="14"/>
      <c r="AW6" s="14">
        <f t="shared" ref="AW6:AW14" si="13">AT6-AV6</f>
        <v>2</v>
      </c>
      <c r="AX6" s="15"/>
      <c r="AY6" s="14"/>
      <c r="AZ6" s="14">
        <f t="shared" ref="AZ6:AZ14" si="14">AW6-AY6</f>
        <v>2</v>
      </c>
      <c r="BA6" s="15"/>
      <c r="BB6" s="14"/>
      <c r="BC6" s="14">
        <f t="shared" ref="BC6:BC14" si="15">AZ6-BB6</f>
        <v>2</v>
      </c>
      <c r="BD6" s="15"/>
      <c r="BE6" s="14"/>
      <c r="BF6" s="14">
        <f t="shared" ref="BF6:BF14" si="16">BC6-BE6</f>
        <v>2</v>
      </c>
      <c r="BG6" s="15"/>
      <c r="BH6" s="14"/>
      <c r="BI6" s="14">
        <f t="shared" ref="BI6:BI14" si="17">BF6-BH6</f>
        <v>2</v>
      </c>
      <c r="BJ6" s="15"/>
      <c r="BK6" s="14"/>
      <c r="BL6" s="14">
        <f t="shared" ref="BL6:BL14" si="18">BI6-BK6</f>
        <v>2</v>
      </c>
      <c r="BM6" s="15"/>
      <c r="BN6" s="14"/>
      <c r="BO6" s="14">
        <f t="shared" ref="BO6:BO14" si="19">BL6-BN6</f>
        <v>2</v>
      </c>
      <c r="BP6" s="15"/>
      <c r="BQ6" s="14"/>
      <c r="BR6" s="14">
        <f t="shared" ref="BR6:BR14" si="20">BO6-BQ6</f>
        <v>2</v>
      </c>
      <c r="BS6" s="15"/>
      <c r="BT6" s="14"/>
      <c r="BU6" s="14">
        <f t="shared" ref="BU6:BU14" si="21">BR6-BT6</f>
        <v>2</v>
      </c>
      <c r="BV6" s="15"/>
      <c r="BW6" s="17">
        <f t="shared" ref="BW6:BW14" si="22">I6+L6+O6+R6+U6+X6+AA6+AD6+AG6+AJ6+AM6+AP6+AS6+AV6+AY6+BB6+BE6+BH6+BK6+BN6+BQ6+BT6</f>
        <v>0</v>
      </c>
      <c r="BX6" s="17">
        <f t="shared" ref="BX6:BX14" si="23">H6-BW6</f>
        <v>2</v>
      </c>
    </row>
    <row r="7" spans="1:82" ht="51.75" customHeight="1" x14ac:dyDescent="0.3">
      <c r="A7" s="1"/>
      <c r="B7" s="31"/>
      <c r="C7" s="31"/>
      <c r="D7" s="12" t="s">
        <v>81</v>
      </c>
      <c r="E7" s="14" t="s">
        <v>43</v>
      </c>
      <c r="F7" s="14" t="s">
        <v>44</v>
      </c>
      <c r="G7" s="14" t="s">
        <v>82</v>
      </c>
      <c r="H7" s="14">
        <v>6</v>
      </c>
      <c r="I7" s="14"/>
      <c r="J7" s="14">
        <f t="shared" si="0"/>
        <v>6</v>
      </c>
      <c r="K7" s="15"/>
      <c r="L7" s="14"/>
      <c r="M7" s="14">
        <f t="shared" si="1"/>
        <v>6</v>
      </c>
      <c r="N7" s="15"/>
      <c r="O7" s="14"/>
      <c r="P7" s="14">
        <f t="shared" si="2"/>
        <v>6</v>
      </c>
      <c r="Q7" s="15"/>
      <c r="R7" s="14"/>
      <c r="S7" s="14">
        <f t="shared" si="3"/>
        <v>6</v>
      </c>
      <c r="T7" s="15"/>
      <c r="U7" s="14"/>
      <c r="V7" s="14">
        <f t="shared" si="4"/>
        <v>6</v>
      </c>
      <c r="W7" s="15"/>
      <c r="X7" s="14"/>
      <c r="Y7" s="14">
        <f t="shared" si="5"/>
        <v>6</v>
      </c>
      <c r="Z7" s="15"/>
      <c r="AA7" s="14"/>
      <c r="AB7" s="14">
        <f t="shared" si="6"/>
        <v>6</v>
      </c>
      <c r="AC7" s="15"/>
      <c r="AD7" s="14"/>
      <c r="AE7" s="14">
        <f t="shared" si="7"/>
        <v>6</v>
      </c>
      <c r="AF7" s="15"/>
      <c r="AG7" s="14"/>
      <c r="AH7" s="14">
        <f t="shared" si="8"/>
        <v>6</v>
      </c>
      <c r="AI7" s="15"/>
      <c r="AJ7" s="14"/>
      <c r="AK7" s="14">
        <f t="shared" si="9"/>
        <v>6</v>
      </c>
      <c r="AL7" s="15"/>
      <c r="AM7" s="14"/>
      <c r="AN7" s="14">
        <f t="shared" si="10"/>
        <v>6</v>
      </c>
      <c r="AO7" s="15"/>
      <c r="AP7" s="14"/>
      <c r="AQ7" s="14">
        <f t="shared" si="11"/>
        <v>6</v>
      </c>
      <c r="AR7" s="15"/>
      <c r="AS7" s="14"/>
      <c r="AT7" s="14">
        <f t="shared" si="12"/>
        <v>6</v>
      </c>
      <c r="AU7" s="15"/>
      <c r="AV7" s="14"/>
      <c r="AW7" s="14">
        <f t="shared" si="13"/>
        <v>6</v>
      </c>
      <c r="AX7" s="15"/>
      <c r="AY7" s="14"/>
      <c r="AZ7" s="14">
        <f t="shared" si="14"/>
        <v>6</v>
      </c>
      <c r="BA7" s="15"/>
      <c r="BB7" s="14"/>
      <c r="BC7" s="14">
        <f t="shared" si="15"/>
        <v>6</v>
      </c>
      <c r="BD7" s="15"/>
      <c r="BE7" s="14"/>
      <c r="BF7" s="14">
        <f t="shared" si="16"/>
        <v>6</v>
      </c>
      <c r="BG7" s="15"/>
      <c r="BH7" s="14"/>
      <c r="BI7" s="14">
        <f t="shared" si="17"/>
        <v>6</v>
      </c>
      <c r="BJ7" s="15"/>
      <c r="BK7" s="14"/>
      <c r="BL7" s="14">
        <f t="shared" si="18"/>
        <v>6</v>
      </c>
      <c r="BM7" s="15"/>
      <c r="BN7" s="14"/>
      <c r="BO7" s="14">
        <f t="shared" si="19"/>
        <v>6</v>
      </c>
      <c r="BP7" s="15"/>
      <c r="BQ7" s="14"/>
      <c r="BR7" s="14">
        <f t="shared" si="20"/>
        <v>6</v>
      </c>
      <c r="BS7" s="15"/>
      <c r="BT7" s="14"/>
      <c r="BU7" s="14">
        <f t="shared" si="21"/>
        <v>6</v>
      </c>
      <c r="BV7" s="15"/>
      <c r="BW7" s="17">
        <f t="shared" si="22"/>
        <v>0</v>
      </c>
      <c r="BX7" s="17">
        <f t="shared" si="23"/>
        <v>6</v>
      </c>
    </row>
    <row r="8" spans="1:82" ht="28.8" x14ac:dyDescent="0.3">
      <c r="A8" s="1"/>
      <c r="B8" s="31"/>
      <c r="C8" s="31"/>
      <c r="D8" s="12" t="s">
        <v>89</v>
      </c>
      <c r="E8" s="14" t="s">
        <v>49</v>
      </c>
      <c r="F8" s="14" t="s">
        <v>44</v>
      </c>
      <c r="G8" s="14" t="s">
        <v>90</v>
      </c>
      <c r="H8" s="14">
        <v>4</v>
      </c>
      <c r="I8" s="14"/>
      <c r="J8" s="14">
        <f t="shared" si="0"/>
        <v>4</v>
      </c>
      <c r="K8" s="15"/>
      <c r="L8" s="14"/>
      <c r="M8" s="14">
        <f t="shared" si="1"/>
        <v>4</v>
      </c>
      <c r="N8" s="15"/>
      <c r="O8" s="14"/>
      <c r="P8" s="14">
        <f t="shared" si="2"/>
        <v>4</v>
      </c>
      <c r="Q8" s="15"/>
      <c r="R8" s="14"/>
      <c r="S8" s="14">
        <f t="shared" si="3"/>
        <v>4</v>
      </c>
      <c r="T8" s="15"/>
      <c r="U8" s="14"/>
      <c r="V8" s="14">
        <f t="shared" si="4"/>
        <v>4</v>
      </c>
      <c r="W8" s="15"/>
      <c r="X8" s="14"/>
      <c r="Y8" s="14">
        <f t="shared" si="5"/>
        <v>4</v>
      </c>
      <c r="Z8" s="15"/>
      <c r="AA8" s="14"/>
      <c r="AB8" s="14">
        <f t="shared" si="6"/>
        <v>4</v>
      </c>
      <c r="AC8" s="15"/>
      <c r="AD8" s="14"/>
      <c r="AE8" s="14">
        <f t="shared" si="7"/>
        <v>4</v>
      </c>
      <c r="AF8" s="15"/>
      <c r="AG8" s="14"/>
      <c r="AH8" s="14">
        <f t="shared" si="8"/>
        <v>4</v>
      </c>
      <c r="AI8" s="15"/>
      <c r="AJ8" s="14"/>
      <c r="AK8" s="14">
        <f t="shared" si="9"/>
        <v>4</v>
      </c>
      <c r="AL8" s="15"/>
      <c r="AM8" s="14"/>
      <c r="AN8" s="14">
        <f t="shared" si="10"/>
        <v>4</v>
      </c>
      <c r="AO8" s="15"/>
      <c r="AP8" s="14"/>
      <c r="AQ8" s="14">
        <f t="shared" si="11"/>
        <v>4</v>
      </c>
      <c r="AR8" s="15"/>
      <c r="AS8" s="14"/>
      <c r="AT8" s="14">
        <f t="shared" si="12"/>
        <v>4</v>
      </c>
      <c r="AU8" s="15"/>
      <c r="AV8" s="14"/>
      <c r="AW8" s="14">
        <f t="shared" si="13"/>
        <v>4</v>
      </c>
      <c r="AX8" s="15"/>
      <c r="AY8" s="14"/>
      <c r="AZ8" s="14">
        <f t="shared" si="14"/>
        <v>4</v>
      </c>
      <c r="BA8" s="15"/>
      <c r="BB8" s="14"/>
      <c r="BC8" s="14">
        <f t="shared" si="15"/>
        <v>4</v>
      </c>
      <c r="BD8" s="15"/>
      <c r="BE8" s="14"/>
      <c r="BF8" s="14">
        <f t="shared" si="16"/>
        <v>4</v>
      </c>
      <c r="BG8" s="15"/>
      <c r="BH8" s="14"/>
      <c r="BI8" s="14">
        <f t="shared" si="17"/>
        <v>4</v>
      </c>
      <c r="BJ8" s="15"/>
      <c r="BK8" s="14"/>
      <c r="BL8" s="14">
        <f t="shared" si="18"/>
        <v>4</v>
      </c>
      <c r="BM8" s="15"/>
      <c r="BN8" s="14"/>
      <c r="BO8" s="14">
        <f t="shared" si="19"/>
        <v>4</v>
      </c>
      <c r="BP8" s="15"/>
      <c r="BQ8" s="14"/>
      <c r="BR8" s="14">
        <f t="shared" si="20"/>
        <v>4</v>
      </c>
      <c r="BS8" s="15"/>
      <c r="BT8" s="14"/>
      <c r="BU8" s="14">
        <f t="shared" si="21"/>
        <v>4</v>
      </c>
      <c r="BV8" s="15"/>
      <c r="BW8" s="17">
        <f t="shared" si="22"/>
        <v>0</v>
      </c>
      <c r="BX8" s="17">
        <f t="shared" si="23"/>
        <v>4</v>
      </c>
    </row>
    <row r="9" spans="1:82" ht="14.4" x14ac:dyDescent="0.3">
      <c r="A9" s="1"/>
      <c r="B9" s="39"/>
      <c r="C9" s="39"/>
      <c r="D9" s="12" t="s">
        <v>93</v>
      </c>
      <c r="E9" s="14" t="s">
        <v>43</v>
      </c>
      <c r="F9" s="14" t="s">
        <v>44</v>
      </c>
      <c r="G9" s="14" t="s">
        <v>94</v>
      </c>
      <c r="H9" s="14">
        <v>2</v>
      </c>
      <c r="I9" s="14"/>
      <c r="J9" s="14">
        <f t="shared" si="0"/>
        <v>2</v>
      </c>
      <c r="K9" s="15"/>
      <c r="L9" s="14"/>
      <c r="M9" s="14">
        <f t="shared" si="1"/>
        <v>2</v>
      </c>
      <c r="N9" s="15"/>
      <c r="O9" s="14"/>
      <c r="P9" s="14">
        <f t="shared" si="2"/>
        <v>2</v>
      </c>
      <c r="Q9" s="15"/>
      <c r="R9" s="14"/>
      <c r="S9" s="14">
        <f t="shared" si="3"/>
        <v>2</v>
      </c>
      <c r="T9" s="15"/>
      <c r="U9" s="14"/>
      <c r="V9" s="14">
        <f t="shared" si="4"/>
        <v>2</v>
      </c>
      <c r="W9" s="15"/>
      <c r="X9" s="14"/>
      <c r="Y9" s="14">
        <f t="shared" si="5"/>
        <v>2</v>
      </c>
      <c r="Z9" s="15"/>
      <c r="AA9" s="14"/>
      <c r="AB9" s="14">
        <f t="shared" si="6"/>
        <v>2</v>
      </c>
      <c r="AC9" s="15"/>
      <c r="AD9" s="14"/>
      <c r="AE9" s="14">
        <f t="shared" si="7"/>
        <v>2</v>
      </c>
      <c r="AF9" s="15"/>
      <c r="AG9" s="14"/>
      <c r="AH9" s="14">
        <f t="shared" si="8"/>
        <v>2</v>
      </c>
      <c r="AI9" s="15"/>
      <c r="AJ9" s="14"/>
      <c r="AK9" s="14">
        <f t="shared" si="9"/>
        <v>2</v>
      </c>
      <c r="AL9" s="15"/>
      <c r="AM9" s="14"/>
      <c r="AN9" s="14">
        <f t="shared" si="10"/>
        <v>2</v>
      </c>
      <c r="AO9" s="15"/>
      <c r="AP9" s="14"/>
      <c r="AQ9" s="14">
        <f t="shared" si="11"/>
        <v>2</v>
      </c>
      <c r="AR9" s="15"/>
      <c r="AS9" s="14"/>
      <c r="AT9" s="14">
        <f t="shared" si="12"/>
        <v>2</v>
      </c>
      <c r="AU9" s="15"/>
      <c r="AV9" s="14"/>
      <c r="AW9" s="14">
        <f t="shared" si="13"/>
        <v>2</v>
      </c>
      <c r="AX9" s="15"/>
      <c r="AY9" s="14"/>
      <c r="AZ9" s="14">
        <f t="shared" si="14"/>
        <v>2</v>
      </c>
      <c r="BA9" s="15"/>
      <c r="BB9" s="14"/>
      <c r="BC9" s="14">
        <f t="shared" si="15"/>
        <v>2</v>
      </c>
      <c r="BD9" s="15"/>
      <c r="BE9" s="14"/>
      <c r="BF9" s="14">
        <f t="shared" si="16"/>
        <v>2</v>
      </c>
      <c r="BG9" s="15"/>
      <c r="BH9" s="14"/>
      <c r="BI9" s="14">
        <f t="shared" si="17"/>
        <v>2</v>
      </c>
      <c r="BJ9" s="15"/>
      <c r="BK9" s="14"/>
      <c r="BL9" s="14">
        <f t="shared" si="18"/>
        <v>2</v>
      </c>
      <c r="BM9" s="15"/>
      <c r="BN9" s="14"/>
      <c r="BO9" s="14">
        <f t="shared" si="19"/>
        <v>2</v>
      </c>
      <c r="BP9" s="15"/>
      <c r="BQ9" s="14"/>
      <c r="BR9" s="14">
        <f t="shared" si="20"/>
        <v>2</v>
      </c>
      <c r="BS9" s="15"/>
      <c r="BT9" s="14"/>
      <c r="BU9" s="14">
        <f t="shared" si="21"/>
        <v>2</v>
      </c>
      <c r="BV9" s="15"/>
      <c r="BW9" s="17">
        <f t="shared" si="22"/>
        <v>0</v>
      </c>
      <c r="BX9" s="17">
        <f t="shared" si="23"/>
        <v>2</v>
      </c>
    </row>
    <row r="10" spans="1:82" ht="56.25" customHeight="1" x14ac:dyDescent="0.3">
      <c r="A10" s="1"/>
      <c r="B10" s="38" t="s">
        <v>99</v>
      </c>
      <c r="C10" s="30" t="s">
        <v>100</v>
      </c>
      <c r="D10" s="12" t="s">
        <v>101</v>
      </c>
      <c r="E10" s="14" t="s">
        <v>49</v>
      </c>
      <c r="F10" s="14" t="s">
        <v>44</v>
      </c>
      <c r="G10" s="14" t="s">
        <v>102</v>
      </c>
      <c r="H10" s="14">
        <v>2</v>
      </c>
      <c r="I10" s="14"/>
      <c r="J10" s="14">
        <f t="shared" si="0"/>
        <v>2</v>
      </c>
      <c r="K10" s="15"/>
      <c r="L10" s="14"/>
      <c r="M10" s="14">
        <f t="shared" si="1"/>
        <v>2</v>
      </c>
      <c r="N10" s="15"/>
      <c r="O10" s="14"/>
      <c r="P10" s="14">
        <f t="shared" si="2"/>
        <v>2</v>
      </c>
      <c r="Q10" s="15"/>
      <c r="R10" s="14"/>
      <c r="S10" s="14">
        <f t="shared" si="3"/>
        <v>2</v>
      </c>
      <c r="T10" s="15"/>
      <c r="U10" s="14"/>
      <c r="V10" s="14">
        <f t="shared" si="4"/>
        <v>2</v>
      </c>
      <c r="W10" s="15"/>
      <c r="X10" s="14"/>
      <c r="Y10" s="14">
        <f t="shared" si="5"/>
        <v>2</v>
      </c>
      <c r="Z10" s="15"/>
      <c r="AA10" s="14"/>
      <c r="AB10" s="14">
        <f t="shared" si="6"/>
        <v>2</v>
      </c>
      <c r="AC10" s="15"/>
      <c r="AD10" s="14"/>
      <c r="AE10" s="14">
        <f t="shared" si="7"/>
        <v>2</v>
      </c>
      <c r="AF10" s="15"/>
      <c r="AG10" s="14"/>
      <c r="AH10" s="14">
        <f t="shared" si="8"/>
        <v>2</v>
      </c>
      <c r="AI10" s="15"/>
      <c r="AJ10" s="14"/>
      <c r="AK10" s="14">
        <f t="shared" si="9"/>
        <v>2</v>
      </c>
      <c r="AL10" s="15"/>
      <c r="AM10" s="14"/>
      <c r="AN10" s="14">
        <f t="shared" si="10"/>
        <v>2</v>
      </c>
      <c r="AO10" s="15"/>
      <c r="AP10" s="14"/>
      <c r="AQ10" s="14">
        <f t="shared" si="11"/>
        <v>2</v>
      </c>
      <c r="AR10" s="15"/>
      <c r="AS10" s="14"/>
      <c r="AT10" s="14">
        <f t="shared" si="12"/>
        <v>2</v>
      </c>
      <c r="AU10" s="15"/>
      <c r="AV10" s="14"/>
      <c r="AW10" s="14">
        <f t="shared" si="13"/>
        <v>2</v>
      </c>
      <c r="AX10" s="15"/>
      <c r="AY10" s="14"/>
      <c r="AZ10" s="14">
        <f t="shared" si="14"/>
        <v>2</v>
      </c>
      <c r="BA10" s="15"/>
      <c r="BB10" s="14"/>
      <c r="BC10" s="14">
        <f t="shared" si="15"/>
        <v>2</v>
      </c>
      <c r="BD10" s="15"/>
      <c r="BE10" s="14"/>
      <c r="BF10" s="14">
        <f t="shared" si="16"/>
        <v>2</v>
      </c>
      <c r="BG10" s="15"/>
      <c r="BH10" s="14"/>
      <c r="BI10" s="14">
        <f t="shared" si="17"/>
        <v>2</v>
      </c>
      <c r="BJ10" s="15"/>
      <c r="BK10" s="14"/>
      <c r="BL10" s="14">
        <f t="shared" si="18"/>
        <v>2</v>
      </c>
      <c r="BM10" s="15"/>
      <c r="BN10" s="14"/>
      <c r="BO10" s="14">
        <f t="shared" si="19"/>
        <v>2</v>
      </c>
      <c r="BP10" s="15"/>
      <c r="BQ10" s="14"/>
      <c r="BR10" s="14">
        <f t="shared" si="20"/>
        <v>2</v>
      </c>
      <c r="BS10" s="15"/>
      <c r="BT10" s="14"/>
      <c r="BU10" s="14">
        <f t="shared" si="21"/>
        <v>2</v>
      </c>
      <c r="BV10" s="15"/>
      <c r="BW10" s="17">
        <f t="shared" si="22"/>
        <v>0</v>
      </c>
      <c r="BX10" s="17">
        <f t="shared" si="23"/>
        <v>2</v>
      </c>
    </row>
    <row r="11" spans="1:82" ht="69.75" customHeight="1" x14ac:dyDescent="0.3">
      <c r="A11" s="1"/>
      <c r="B11" s="31"/>
      <c r="C11" s="31"/>
      <c r="D11" s="12" t="s">
        <v>107</v>
      </c>
      <c r="E11" s="14" t="s">
        <v>49</v>
      </c>
      <c r="F11" s="14" t="s">
        <v>44</v>
      </c>
      <c r="G11" s="14" t="s">
        <v>108</v>
      </c>
      <c r="H11" s="14">
        <v>2</v>
      </c>
      <c r="I11" s="14"/>
      <c r="J11" s="14">
        <f t="shared" si="0"/>
        <v>2</v>
      </c>
      <c r="K11" s="15"/>
      <c r="L11" s="14"/>
      <c r="M11" s="14">
        <f t="shared" si="1"/>
        <v>2</v>
      </c>
      <c r="N11" s="15"/>
      <c r="O11" s="14"/>
      <c r="P11" s="14">
        <f t="shared" si="2"/>
        <v>2</v>
      </c>
      <c r="Q11" s="15"/>
      <c r="R11" s="14"/>
      <c r="S11" s="14">
        <f t="shared" si="3"/>
        <v>2</v>
      </c>
      <c r="T11" s="15"/>
      <c r="U11" s="14"/>
      <c r="V11" s="14">
        <f t="shared" si="4"/>
        <v>2</v>
      </c>
      <c r="W11" s="15"/>
      <c r="X11" s="14"/>
      <c r="Y11" s="14">
        <f t="shared" si="5"/>
        <v>2</v>
      </c>
      <c r="Z11" s="15"/>
      <c r="AA11" s="14"/>
      <c r="AB11" s="14">
        <f t="shared" si="6"/>
        <v>2</v>
      </c>
      <c r="AC11" s="15"/>
      <c r="AD11" s="14"/>
      <c r="AE11" s="14">
        <f t="shared" si="7"/>
        <v>2</v>
      </c>
      <c r="AF11" s="15"/>
      <c r="AG11" s="14"/>
      <c r="AH11" s="14">
        <f t="shared" si="8"/>
        <v>2</v>
      </c>
      <c r="AI11" s="15"/>
      <c r="AJ11" s="14"/>
      <c r="AK11" s="14">
        <f t="shared" si="9"/>
        <v>2</v>
      </c>
      <c r="AL11" s="15"/>
      <c r="AM11" s="14"/>
      <c r="AN11" s="14">
        <f t="shared" si="10"/>
        <v>2</v>
      </c>
      <c r="AO11" s="15"/>
      <c r="AP11" s="14"/>
      <c r="AQ11" s="14">
        <f t="shared" si="11"/>
        <v>2</v>
      </c>
      <c r="AR11" s="15"/>
      <c r="AS11" s="14"/>
      <c r="AT11" s="14">
        <f t="shared" si="12"/>
        <v>2</v>
      </c>
      <c r="AU11" s="15"/>
      <c r="AV11" s="14"/>
      <c r="AW11" s="14">
        <f t="shared" si="13"/>
        <v>2</v>
      </c>
      <c r="AX11" s="15"/>
      <c r="AY11" s="14"/>
      <c r="AZ11" s="14">
        <f t="shared" si="14"/>
        <v>2</v>
      </c>
      <c r="BA11" s="15"/>
      <c r="BB11" s="14"/>
      <c r="BC11" s="14">
        <f t="shared" si="15"/>
        <v>2</v>
      </c>
      <c r="BD11" s="15"/>
      <c r="BE11" s="14"/>
      <c r="BF11" s="14">
        <f t="shared" si="16"/>
        <v>2</v>
      </c>
      <c r="BG11" s="15"/>
      <c r="BH11" s="14"/>
      <c r="BI11" s="14">
        <f t="shared" si="17"/>
        <v>2</v>
      </c>
      <c r="BJ11" s="15"/>
      <c r="BK11" s="14"/>
      <c r="BL11" s="14">
        <f t="shared" si="18"/>
        <v>2</v>
      </c>
      <c r="BM11" s="15"/>
      <c r="BN11" s="14"/>
      <c r="BO11" s="14">
        <f t="shared" si="19"/>
        <v>2</v>
      </c>
      <c r="BP11" s="15"/>
      <c r="BQ11" s="14"/>
      <c r="BR11" s="14">
        <f t="shared" si="20"/>
        <v>2</v>
      </c>
      <c r="BS11" s="15"/>
      <c r="BT11" s="14"/>
      <c r="BU11" s="14">
        <f t="shared" si="21"/>
        <v>2</v>
      </c>
      <c r="BV11" s="15"/>
      <c r="BW11" s="17">
        <f t="shared" si="22"/>
        <v>0</v>
      </c>
      <c r="BX11" s="17">
        <f t="shared" si="23"/>
        <v>2</v>
      </c>
    </row>
    <row r="12" spans="1:82" ht="69.75" customHeight="1" x14ac:dyDescent="0.3">
      <c r="A12" s="1"/>
      <c r="B12" s="32"/>
      <c r="C12" s="32"/>
      <c r="D12" s="12" t="s">
        <v>113</v>
      </c>
      <c r="E12" s="14" t="s">
        <v>43</v>
      </c>
      <c r="F12" s="14" t="s">
        <v>44</v>
      </c>
      <c r="G12" s="14" t="s">
        <v>115</v>
      </c>
      <c r="H12" s="14">
        <v>2</v>
      </c>
      <c r="I12" s="14"/>
      <c r="J12" s="14">
        <f t="shared" si="0"/>
        <v>2</v>
      </c>
      <c r="K12" s="15"/>
      <c r="L12" s="14"/>
      <c r="M12" s="14">
        <f t="shared" si="1"/>
        <v>2</v>
      </c>
      <c r="N12" s="15"/>
      <c r="O12" s="14"/>
      <c r="P12" s="14">
        <f t="shared" si="2"/>
        <v>2</v>
      </c>
      <c r="Q12" s="15"/>
      <c r="R12" s="14"/>
      <c r="S12" s="14">
        <f t="shared" si="3"/>
        <v>2</v>
      </c>
      <c r="T12" s="15"/>
      <c r="U12" s="14"/>
      <c r="V12" s="14">
        <f t="shared" si="4"/>
        <v>2</v>
      </c>
      <c r="W12" s="15"/>
      <c r="X12" s="14"/>
      <c r="Y12" s="14">
        <f t="shared" si="5"/>
        <v>2</v>
      </c>
      <c r="Z12" s="15"/>
      <c r="AA12" s="14"/>
      <c r="AB12" s="14">
        <f t="shared" si="6"/>
        <v>2</v>
      </c>
      <c r="AC12" s="15"/>
      <c r="AD12" s="14"/>
      <c r="AE12" s="14">
        <f t="shared" si="7"/>
        <v>2</v>
      </c>
      <c r="AF12" s="15"/>
      <c r="AG12" s="14"/>
      <c r="AH12" s="14">
        <f t="shared" si="8"/>
        <v>2</v>
      </c>
      <c r="AI12" s="15"/>
      <c r="AJ12" s="14"/>
      <c r="AK12" s="14">
        <f t="shared" si="9"/>
        <v>2</v>
      </c>
      <c r="AL12" s="15"/>
      <c r="AM12" s="14"/>
      <c r="AN12" s="14">
        <f t="shared" si="10"/>
        <v>2</v>
      </c>
      <c r="AO12" s="15"/>
      <c r="AP12" s="14"/>
      <c r="AQ12" s="14">
        <f t="shared" si="11"/>
        <v>2</v>
      </c>
      <c r="AR12" s="15"/>
      <c r="AS12" s="14"/>
      <c r="AT12" s="14">
        <f t="shared" si="12"/>
        <v>2</v>
      </c>
      <c r="AU12" s="15"/>
      <c r="AV12" s="14"/>
      <c r="AW12" s="14">
        <f t="shared" si="13"/>
        <v>2</v>
      </c>
      <c r="AX12" s="15"/>
      <c r="AY12" s="14"/>
      <c r="AZ12" s="14">
        <f t="shared" si="14"/>
        <v>2</v>
      </c>
      <c r="BA12" s="15"/>
      <c r="BB12" s="14"/>
      <c r="BC12" s="14">
        <f t="shared" si="15"/>
        <v>2</v>
      </c>
      <c r="BD12" s="15"/>
      <c r="BE12" s="14"/>
      <c r="BF12" s="14">
        <f t="shared" si="16"/>
        <v>2</v>
      </c>
      <c r="BG12" s="15"/>
      <c r="BH12" s="14"/>
      <c r="BI12" s="14">
        <f t="shared" si="17"/>
        <v>2</v>
      </c>
      <c r="BJ12" s="15"/>
      <c r="BK12" s="14"/>
      <c r="BL12" s="14">
        <f t="shared" si="18"/>
        <v>2</v>
      </c>
      <c r="BM12" s="15"/>
      <c r="BN12" s="14"/>
      <c r="BO12" s="14">
        <f t="shared" si="19"/>
        <v>2</v>
      </c>
      <c r="BP12" s="15"/>
      <c r="BQ12" s="14"/>
      <c r="BR12" s="14">
        <f t="shared" si="20"/>
        <v>2</v>
      </c>
      <c r="BS12" s="15"/>
      <c r="BT12" s="14"/>
      <c r="BU12" s="14">
        <f t="shared" si="21"/>
        <v>2</v>
      </c>
      <c r="BV12" s="15"/>
      <c r="BW12" s="17">
        <f t="shared" si="22"/>
        <v>0</v>
      </c>
      <c r="BX12" s="17">
        <f t="shared" si="23"/>
        <v>2</v>
      </c>
    </row>
    <row r="13" spans="1:82" ht="73.5" customHeight="1" x14ac:dyDescent="0.3">
      <c r="A13" s="1"/>
      <c r="B13" s="38" t="s">
        <v>123</v>
      </c>
      <c r="C13" s="30" t="s">
        <v>124</v>
      </c>
      <c r="D13" s="12" t="s">
        <v>125</v>
      </c>
      <c r="E13" s="14" t="s">
        <v>43</v>
      </c>
      <c r="F13" s="14" t="s">
        <v>44</v>
      </c>
      <c r="G13" s="14" t="s">
        <v>126</v>
      </c>
      <c r="H13" s="14">
        <v>2</v>
      </c>
      <c r="I13" s="14"/>
      <c r="J13" s="14">
        <f t="shared" si="0"/>
        <v>2</v>
      </c>
      <c r="K13" s="15"/>
      <c r="L13" s="14"/>
      <c r="M13" s="14">
        <f t="shared" si="1"/>
        <v>2</v>
      </c>
      <c r="N13" s="15"/>
      <c r="O13" s="14"/>
      <c r="P13" s="14">
        <f t="shared" si="2"/>
        <v>2</v>
      </c>
      <c r="Q13" s="15"/>
      <c r="R13" s="14"/>
      <c r="S13" s="14">
        <f t="shared" si="3"/>
        <v>2</v>
      </c>
      <c r="T13" s="15"/>
      <c r="U13" s="14"/>
      <c r="V13" s="14">
        <f t="shared" si="4"/>
        <v>2</v>
      </c>
      <c r="W13" s="15"/>
      <c r="X13" s="14"/>
      <c r="Y13" s="14">
        <f t="shared" si="5"/>
        <v>2</v>
      </c>
      <c r="Z13" s="15"/>
      <c r="AA13" s="14"/>
      <c r="AB13" s="14">
        <f t="shared" si="6"/>
        <v>2</v>
      </c>
      <c r="AC13" s="15"/>
      <c r="AD13" s="14"/>
      <c r="AE13" s="14">
        <f t="shared" si="7"/>
        <v>2</v>
      </c>
      <c r="AF13" s="15"/>
      <c r="AG13" s="14"/>
      <c r="AH13" s="14">
        <f t="shared" si="8"/>
        <v>2</v>
      </c>
      <c r="AI13" s="15"/>
      <c r="AJ13" s="14"/>
      <c r="AK13" s="14">
        <f t="shared" si="9"/>
        <v>2</v>
      </c>
      <c r="AL13" s="15"/>
      <c r="AM13" s="14"/>
      <c r="AN13" s="14">
        <f t="shared" si="10"/>
        <v>2</v>
      </c>
      <c r="AO13" s="15"/>
      <c r="AP13" s="14"/>
      <c r="AQ13" s="14">
        <f t="shared" si="11"/>
        <v>2</v>
      </c>
      <c r="AR13" s="15"/>
      <c r="AS13" s="14"/>
      <c r="AT13" s="14">
        <f t="shared" si="12"/>
        <v>2</v>
      </c>
      <c r="AU13" s="15"/>
      <c r="AV13" s="14"/>
      <c r="AW13" s="14">
        <f t="shared" si="13"/>
        <v>2</v>
      </c>
      <c r="AX13" s="15"/>
      <c r="AY13" s="14"/>
      <c r="AZ13" s="14">
        <f t="shared" si="14"/>
        <v>2</v>
      </c>
      <c r="BA13" s="15"/>
      <c r="BB13" s="14"/>
      <c r="BC13" s="14">
        <f t="shared" si="15"/>
        <v>2</v>
      </c>
      <c r="BD13" s="15"/>
      <c r="BE13" s="14"/>
      <c r="BF13" s="14">
        <f t="shared" si="16"/>
        <v>2</v>
      </c>
      <c r="BG13" s="15"/>
      <c r="BH13" s="14"/>
      <c r="BI13" s="14">
        <f t="shared" si="17"/>
        <v>2</v>
      </c>
      <c r="BJ13" s="15"/>
      <c r="BK13" s="14"/>
      <c r="BL13" s="14">
        <f t="shared" si="18"/>
        <v>2</v>
      </c>
      <c r="BM13" s="15"/>
      <c r="BN13" s="14"/>
      <c r="BO13" s="14">
        <f t="shared" si="19"/>
        <v>2</v>
      </c>
      <c r="BP13" s="15"/>
      <c r="BQ13" s="14"/>
      <c r="BR13" s="14">
        <f t="shared" si="20"/>
        <v>2</v>
      </c>
      <c r="BS13" s="15"/>
      <c r="BT13" s="14"/>
      <c r="BU13" s="14">
        <f t="shared" si="21"/>
        <v>2</v>
      </c>
      <c r="BV13" s="15"/>
      <c r="BW13" s="17">
        <f t="shared" si="22"/>
        <v>0</v>
      </c>
      <c r="BX13" s="17">
        <f t="shared" si="23"/>
        <v>2</v>
      </c>
    </row>
    <row r="14" spans="1:82" ht="51" customHeight="1" x14ac:dyDescent="0.3">
      <c r="A14" s="1"/>
      <c r="B14" s="32"/>
      <c r="C14" s="32"/>
      <c r="D14" s="12" t="s">
        <v>129</v>
      </c>
      <c r="E14" s="14" t="s">
        <v>49</v>
      </c>
      <c r="F14" s="14" t="s">
        <v>44</v>
      </c>
      <c r="G14" s="14" t="s">
        <v>130</v>
      </c>
      <c r="H14" s="14">
        <v>1</v>
      </c>
      <c r="I14" s="14"/>
      <c r="J14" s="14">
        <f t="shared" si="0"/>
        <v>1</v>
      </c>
      <c r="K14" s="15"/>
      <c r="L14" s="14"/>
      <c r="M14" s="14">
        <f t="shared" si="1"/>
        <v>1</v>
      </c>
      <c r="N14" s="15"/>
      <c r="O14" s="14"/>
      <c r="P14" s="14">
        <f t="shared" si="2"/>
        <v>1</v>
      </c>
      <c r="Q14" s="15"/>
      <c r="R14" s="14"/>
      <c r="S14" s="14">
        <f t="shared" si="3"/>
        <v>1</v>
      </c>
      <c r="T14" s="15"/>
      <c r="U14" s="14"/>
      <c r="V14" s="14">
        <f t="shared" si="4"/>
        <v>1</v>
      </c>
      <c r="W14" s="15"/>
      <c r="X14" s="14"/>
      <c r="Y14" s="14">
        <f t="shared" si="5"/>
        <v>1</v>
      </c>
      <c r="Z14" s="15"/>
      <c r="AA14" s="14"/>
      <c r="AB14" s="14">
        <f t="shared" si="6"/>
        <v>1</v>
      </c>
      <c r="AC14" s="15"/>
      <c r="AD14" s="14"/>
      <c r="AE14" s="14">
        <f t="shared" si="7"/>
        <v>1</v>
      </c>
      <c r="AF14" s="15"/>
      <c r="AG14" s="14"/>
      <c r="AH14" s="14">
        <f t="shared" si="8"/>
        <v>1</v>
      </c>
      <c r="AI14" s="15"/>
      <c r="AJ14" s="14"/>
      <c r="AK14" s="14">
        <f t="shared" si="9"/>
        <v>1</v>
      </c>
      <c r="AL14" s="15"/>
      <c r="AM14" s="14"/>
      <c r="AN14" s="14">
        <f t="shared" si="10"/>
        <v>1</v>
      </c>
      <c r="AO14" s="15"/>
      <c r="AP14" s="14"/>
      <c r="AQ14" s="14">
        <f t="shared" si="11"/>
        <v>1</v>
      </c>
      <c r="AR14" s="15"/>
      <c r="AS14" s="14"/>
      <c r="AT14" s="14">
        <f t="shared" si="12"/>
        <v>1</v>
      </c>
      <c r="AU14" s="15"/>
      <c r="AV14" s="14"/>
      <c r="AW14" s="14">
        <f t="shared" si="13"/>
        <v>1</v>
      </c>
      <c r="AX14" s="15"/>
      <c r="AY14" s="14"/>
      <c r="AZ14" s="14">
        <f t="shared" si="14"/>
        <v>1</v>
      </c>
      <c r="BA14" s="15"/>
      <c r="BB14" s="14"/>
      <c r="BC14" s="14">
        <f t="shared" si="15"/>
        <v>1</v>
      </c>
      <c r="BD14" s="15"/>
      <c r="BE14" s="14"/>
      <c r="BF14" s="14">
        <f t="shared" si="16"/>
        <v>1</v>
      </c>
      <c r="BG14" s="15"/>
      <c r="BH14" s="14"/>
      <c r="BI14" s="14">
        <f t="shared" si="17"/>
        <v>1</v>
      </c>
      <c r="BJ14" s="15"/>
      <c r="BK14" s="14"/>
      <c r="BL14" s="14">
        <f t="shared" si="18"/>
        <v>1</v>
      </c>
      <c r="BM14" s="15"/>
      <c r="BN14" s="14"/>
      <c r="BO14" s="14">
        <f t="shared" si="19"/>
        <v>1</v>
      </c>
      <c r="BP14" s="15"/>
      <c r="BQ14" s="14"/>
      <c r="BR14" s="14">
        <f t="shared" si="20"/>
        <v>1</v>
      </c>
      <c r="BS14" s="15"/>
      <c r="BT14" s="14"/>
      <c r="BU14" s="14">
        <f t="shared" si="21"/>
        <v>1</v>
      </c>
      <c r="BV14" s="15"/>
      <c r="BW14" s="17">
        <f t="shared" si="22"/>
        <v>0</v>
      </c>
      <c r="BX14" s="17">
        <f t="shared" si="23"/>
        <v>1</v>
      </c>
    </row>
    <row r="15" spans="1:82" ht="15.7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row>
    <row r="16" spans="1:82" ht="15.75" customHeight="1"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row>
    <row r="17" spans="1:82" ht="15.75" customHeight="1"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row>
    <row r="18" spans="1:82" ht="15.7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row>
    <row r="19" spans="1:82" ht="15.7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row>
    <row r="20" spans="1:82" ht="15.7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row>
    <row r="21" spans="1:82"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row>
    <row r="22" spans="1:82"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row>
    <row r="23" spans="1:82"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row>
    <row r="24" spans="1:82"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row>
    <row r="25" spans="1:82"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row>
    <row r="26" spans="1:82"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row>
    <row r="27" spans="1:82"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row>
    <row r="28" spans="1:82"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row>
    <row r="29" spans="1:82"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row>
    <row r="30" spans="1:82"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row>
    <row r="31" spans="1:82"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row>
    <row r="32" spans="1:82"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row>
    <row r="33" spans="1:82"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row>
    <row r="34" spans="1:82"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row>
    <row r="35" spans="1:82"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row>
    <row r="36" spans="1:82"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row>
    <row r="37" spans="1:82"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row>
    <row r="38" spans="1:82"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row>
    <row r="39" spans="1:82"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row>
    <row r="40" spans="1:82"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row>
    <row r="41" spans="1:82"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row>
    <row r="42" spans="1:82"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row>
    <row r="43" spans="1:82"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row>
    <row r="44" spans="1:82"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row>
    <row r="45" spans="1:82"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row>
    <row r="46" spans="1:82"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row>
    <row r="47" spans="1:82"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row>
    <row r="48" spans="1:82"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row>
    <row r="49" spans="1:82"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row>
    <row r="50" spans="1:82"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row>
    <row r="51" spans="1:82"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row>
    <row r="52" spans="1:82"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row>
    <row r="53" spans="1:82"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row>
    <row r="54" spans="1:82"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row>
    <row r="55" spans="1:82"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row>
    <row r="56" spans="1:82"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row>
    <row r="57" spans="1:82"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row>
    <row r="58" spans="1:82"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row>
    <row r="59" spans="1:82"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row>
    <row r="60" spans="1:82"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row>
    <row r="61" spans="1:82"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row>
    <row r="62" spans="1:82"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row>
    <row r="63" spans="1:82"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row>
    <row r="64" spans="1:82"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row>
    <row r="65" spans="1:82"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row>
    <row r="66" spans="1:82"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row>
    <row r="67" spans="1:82"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row>
    <row r="68" spans="1:82"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row>
    <row r="69" spans="1:82"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row>
    <row r="70" spans="1:82"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row>
    <row r="71" spans="1:82"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row>
    <row r="72" spans="1:82"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row>
    <row r="73" spans="1:82"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row>
    <row r="74" spans="1:82"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row>
    <row r="75" spans="1:82"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row>
    <row r="76" spans="1:82"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row>
    <row r="77" spans="1:82"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row>
    <row r="78" spans="1:82"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row>
    <row r="79" spans="1:82"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row>
    <row r="80" spans="1:82"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row>
    <row r="81" spans="1:82"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row>
    <row r="82" spans="1:82"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row>
    <row r="83" spans="1:82"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row>
    <row r="84" spans="1:82"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row>
    <row r="85" spans="1:82"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row>
    <row r="86" spans="1:82"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row>
    <row r="87" spans="1:82"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row>
    <row r="88" spans="1:82"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row>
    <row r="89" spans="1:82"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row>
    <row r="90" spans="1:82"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row>
    <row r="91" spans="1:82"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row>
    <row r="92" spans="1:82"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row>
    <row r="93" spans="1:82"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row>
    <row r="94" spans="1:82"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row>
    <row r="95" spans="1:82"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row>
    <row r="96" spans="1:82"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row>
    <row r="97" spans="1:82"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row>
    <row r="98" spans="1:82"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row>
    <row r="99" spans="1:82"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row>
    <row r="100" spans="1:82"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row>
    <row r="101" spans="1:82"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row>
    <row r="102" spans="1:82"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row>
    <row r="103" spans="1:82"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row>
    <row r="104" spans="1:82"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row>
    <row r="105" spans="1:82"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row>
    <row r="106" spans="1:82"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row>
    <row r="107" spans="1:82"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row>
    <row r="108" spans="1:82"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row>
    <row r="109" spans="1:82"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row>
    <row r="110" spans="1:82"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row>
    <row r="111" spans="1:82"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row>
    <row r="112" spans="1:82"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row>
    <row r="113" spans="1:82"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row>
    <row r="114" spans="1:82"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row>
    <row r="115" spans="1:82"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row>
    <row r="116" spans="1:82"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row>
    <row r="117" spans="1:82"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row>
    <row r="118" spans="1:82"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row>
    <row r="119" spans="1:82"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row>
    <row r="120" spans="1:82"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row>
    <row r="121" spans="1:82"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row>
    <row r="122" spans="1:82"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row>
    <row r="123" spans="1:82"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row>
    <row r="124" spans="1:82"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row>
    <row r="125" spans="1:82"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row>
    <row r="126" spans="1:82"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row>
    <row r="127" spans="1:82"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row>
    <row r="128" spans="1:82"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row>
    <row r="129" spans="1:82"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row>
    <row r="130" spans="1:82"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row>
    <row r="131" spans="1:82"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row>
    <row r="132" spans="1:82"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row>
    <row r="133" spans="1:82"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row>
    <row r="134" spans="1:82"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row>
    <row r="135" spans="1:82"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row>
    <row r="136" spans="1:82"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row>
    <row r="137" spans="1:82"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row>
    <row r="138" spans="1:82"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row>
    <row r="139" spans="1:82"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row>
    <row r="140" spans="1:82"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row>
    <row r="141" spans="1:82"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row>
    <row r="142" spans="1:82"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row>
    <row r="143" spans="1:82"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row>
    <row r="144" spans="1:82"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row>
    <row r="145" spans="1:82"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row>
    <row r="146" spans="1:82"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row>
    <row r="147" spans="1:82"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row>
    <row r="148" spans="1:82"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row>
    <row r="149" spans="1:82"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row>
    <row r="150" spans="1:82"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row>
    <row r="151" spans="1:82"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row>
    <row r="152" spans="1:82"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row>
    <row r="153" spans="1:82"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row>
    <row r="154" spans="1:82"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row>
    <row r="155" spans="1:82"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row>
    <row r="156" spans="1:82"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row>
    <row r="157" spans="1:82"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row>
    <row r="158" spans="1:82"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row>
    <row r="159" spans="1:82"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row>
    <row r="160" spans="1:82"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row>
    <row r="161" spans="1:82"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row>
    <row r="162" spans="1:82"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row>
    <row r="163" spans="1:82"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row>
    <row r="164" spans="1:82"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row>
    <row r="165" spans="1:82"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row>
    <row r="166" spans="1:82"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row>
    <row r="167" spans="1:82"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row>
    <row r="168" spans="1:82"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row>
    <row r="169" spans="1:82"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row>
    <row r="170" spans="1:82"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row>
    <row r="171" spans="1:82"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row>
    <row r="172" spans="1:82"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row>
    <row r="173" spans="1:82"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row>
    <row r="174" spans="1:82"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row>
    <row r="175" spans="1:82"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row>
    <row r="176" spans="1:82"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row>
    <row r="177" spans="1:82"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row>
    <row r="178" spans="1:82"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row>
    <row r="179" spans="1:82"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row>
    <row r="180" spans="1:82"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row>
    <row r="181" spans="1:82"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row>
    <row r="182" spans="1:82"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row>
    <row r="183" spans="1:82"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row>
    <row r="184" spans="1:82"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row>
    <row r="185" spans="1:82"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row>
    <row r="186" spans="1:82"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row>
    <row r="187" spans="1:82"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row>
    <row r="188" spans="1:82"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row>
    <row r="189" spans="1:82"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row>
    <row r="190" spans="1:82"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row>
    <row r="191" spans="1:82"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row>
    <row r="192" spans="1:82"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row>
    <row r="193" spans="1:82"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row>
    <row r="194" spans="1:82"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row>
    <row r="195" spans="1:82"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row>
    <row r="196" spans="1:82"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row>
    <row r="197" spans="1:82"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row>
    <row r="198" spans="1:82"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row>
    <row r="199" spans="1:82"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row>
    <row r="200" spans="1:82"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row>
    <row r="201" spans="1:82"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row>
    <row r="202" spans="1:82"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row>
    <row r="203" spans="1:82"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row>
    <row r="204" spans="1:82"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row>
    <row r="205" spans="1:82"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row>
    <row r="206" spans="1:82"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row>
    <row r="207" spans="1:82"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row>
    <row r="208" spans="1:82"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row>
    <row r="209" spans="1:82"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row>
    <row r="210" spans="1:82"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row>
    <row r="211" spans="1:82"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row>
    <row r="212" spans="1:82"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row>
    <row r="213" spans="1:82"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row>
    <row r="214" spans="1:82"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row>
    <row r="215" spans="1:82"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row>
    <row r="216" spans="1:82"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row>
    <row r="217" spans="1:82"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row>
    <row r="218" spans="1:82"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row>
    <row r="219" spans="1:82" ht="15.75" customHeight="1" x14ac:dyDescent="0.25"/>
    <row r="220" spans="1:82" ht="15.75" customHeight="1" x14ac:dyDescent="0.25"/>
    <row r="221" spans="1:82" ht="15.75" customHeight="1" x14ac:dyDescent="0.25"/>
    <row r="222" spans="1:82" ht="15.75" customHeight="1" x14ac:dyDescent="0.25"/>
    <row r="223" spans="1:82" ht="15.75" customHeight="1" x14ac:dyDescent="0.25"/>
    <row r="224" spans="1:82"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31">
    <mergeCell ref="X4:Y4"/>
    <mergeCell ref="AA4:AB4"/>
    <mergeCell ref="AD4:AE4"/>
    <mergeCell ref="AG4:AH4"/>
    <mergeCell ref="AJ4:AK4"/>
    <mergeCell ref="AM4:AN4"/>
    <mergeCell ref="AP4:AQ4"/>
    <mergeCell ref="BN4:BO4"/>
    <mergeCell ref="BQ4:BR4"/>
    <mergeCell ref="BT4:BU4"/>
    <mergeCell ref="BW4:BX4"/>
    <mergeCell ref="AS4:AT4"/>
    <mergeCell ref="AV4:AW4"/>
    <mergeCell ref="AY4:AZ4"/>
    <mergeCell ref="BB4:BC4"/>
    <mergeCell ref="BE4:BF4"/>
    <mergeCell ref="BH4:BI4"/>
    <mergeCell ref="BK4:BL4"/>
    <mergeCell ref="B6:B9"/>
    <mergeCell ref="C6:C9"/>
    <mergeCell ref="B10:B12"/>
    <mergeCell ref="C10:C12"/>
    <mergeCell ref="B13:B14"/>
    <mergeCell ref="C13:C14"/>
    <mergeCell ref="R4:S4"/>
    <mergeCell ref="U4:V4"/>
    <mergeCell ref="B2:C2"/>
    <mergeCell ref="B3:C3"/>
    <mergeCell ref="I4:J4"/>
    <mergeCell ref="L4:M4"/>
    <mergeCell ref="O4:P4"/>
  </mergeCells>
  <dataValidations count="2">
    <dataValidation type="list" allowBlank="1" showErrorMessage="1" sqref="E6:E14" xr:uid="{00000000-0002-0000-0200-000000000000}">
      <formula1>"Antonia Lizana,Marcelo Valladares"</formula1>
    </dataValidation>
    <dataValidation type="list" allowBlank="1" showErrorMessage="1" sqref="F6:F14" xr:uid="{00000000-0002-0000-0200-000001000000}">
      <formula1>"Nuevo,En progreso,Listo para probar,Cerrado,Se necesita info"</formula1>
    </dataValidation>
  </dataValidations>
  <pageMargins left="0.62992125984251968" right="0.62992125984251968" top="0.74803149606299213" bottom="0.74803149606299213" header="0" footer="0"/>
  <pageSetup paperSize="9" orientation="landscape"/>
  <colBreaks count="4" manualBreakCount="4">
    <brk id="53" man="1"/>
    <brk id="37" man="1"/>
    <brk id="22" man="1"/>
    <brk id="94"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BV995"/>
  <sheetViews>
    <sheetView workbookViewId="0">
      <pane xSplit="6" ySplit="5" topLeftCell="G6" activePane="bottomRight" state="frozen"/>
      <selection pane="topRight" activeCell="G1" sqref="G1"/>
      <selection pane="bottomLeft" activeCell="A6" sqref="A6"/>
      <selection pane="bottomRight" activeCell="G6" sqref="G6"/>
    </sheetView>
  </sheetViews>
  <sheetFormatPr baseColWidth="10" defaultColWidth="12.59765625" defaultRowHeight="15" customHeight="1" x14ac:dyDescent="0.25"/>
  <cols>
    <col min="1" max="1" width="0.3984375" customWidth="1"/>
    <col min="2" max="2" width="14.3984375" customWidth="1"/>
    <col min="3" max="3" width="43.09765625" customWidth="1"/>
    <col min="4" max="4" width="18.19921875" customWidth="1"/>
    <col min="5" max="5" width="21.19921875" customWidth="1"/>
    <col min="6" max="6" width="18.19921875" customWidth="1"/>
    <col min="7" max="8" width="13.5" customWidth="1"/>
    <col min="9" max="9" width="5.09765625" customWidth="1"/>
    <col min="10" max="10" width="4.69921875" customWidth="1"/>
    <col min="11" max="11" width="2.3984375" customWidth="1"/>
    <col min="12" max="12" width="5.09765625" customWidth="1"/>
    <col min="13" max="13" width="4.69921875" customWidth="1"/>
    <col min="14" max="14" width="2.3984375" customWidth="1"/>
    <col min="15" max="15" width="5.09765625" customWidth="1"/>
    <col min="16" max="16" width="4.69921875" customWidth="1"/>
    <col min="17" max="17" width="2.3984375" customWidth="1"/>
    <col min="18" max="18" width="5.09765625" customWidth="1"/>
    <col min="19" max="19" width="4.69921875" customWidth="1"/>
    <col min="20" max="20" width="2.3984375" customWidth="1"/>
    <col min="21" max="21" width="5.09765625" customWidth="1"/>
    <col min="22" max="22" width="4.69921875" customWidth="1"/>
    <col min="23" max="23" width="2.3984375" customWidth="1"/>
    <col min="24" max="24" width="5.09765625" customWidth="1"/>
    <col min="25" max="25" width="4.69921875" customWidth="1"/>
    <col min="26" max="26" width="2.3984375" customWidth="1"/>
    <col min="27" max="27" width="5.09765625" customWidth="1"/>
    <col min="28" max="28" width="4.69921875" customWidth="1"/>
    <col min="29" max="29" width="2.3984375" customWidth="1"/>
    <col min="30" max="30" width="5.09765625" customWidth="1"/>
    <col min="31" max="31" width="4.69921875" customWidth="1"/>
    <col min="32" max="32" width="2.3984375" customWidth="1"/>
    <col min="33" max="33" width="5.09765625" customWidth="1"/>
    <col min="34" max="34" width="4.69921875" customWidth="1"/>
    <col min="35" max="35" width="2.3984375" customWidth="1"/>
    <col min="36" max="36" width="5.09765625" customWidth="1"/>
    <col min="37" max="37" width="4.69921875" customWidth="1"/>
    <col min="38" max="38" width="2.3984375" customWidth="1"/>
    <col min="39" max="39" width="5.09765625" customWidth="1"/>
    <col min="40" max="40" width="4.69921875" customWidth="1"/>
    <col min="41" max="41" width="2.3984375" customWidth="1"/>
    <col min="42" max="42" width="5.09765625" customWidth="1"/>
    <col min="43" max="43" width="4.69921875" customWidth="1"/>
    <col min="44" max="44" width="2.3984375" customWidth="1"/>
    <col min="45" max="45" width="5.09765625" customWidth="1"/>
    <col min="46" max="46" width="4.69921875" customWidth="1"/>
    <col min="47" max="47" width="2.3984375" customWidth="1"/>
    <col min="48" max="48" width="5.09765625" customWidth="1"/>
    <col min="49" max="49" width="4.69921875" customWidth="1"/>
    <col min="50" max="50" width="2.3984375" customWidth="1"/>
    <col min="51" max="51" width="5.09765625" customWidth="1"/>
    <col min="52" max="52" width="4.69921875" customWidth="1"/>
    <col min="53" max="53" width="2.3984375" customWidth="1"/>
    <col min="54" max="54" width="5.09765625" customWidth="1"/>
    <col min="55" max="55" width="4.69921875" customWidth="1"/>
    <col min="56" max="56" width="2.3984375" customWidth="1"/>
    <col min="57" max="57" width="5.09765625" customWidth="1"/>
    <col min="58" max="58" width="4.69921875" customWidth="1"/>
    <col min="59" max="59" width="2.3984375" customWidth="1"/>
    <col min="60" max="60" width="5.09765625" customWidth="1"/>
    <col min="61" max="61" width="4.69921875" customWidth="1"/>
    <col min="62" max="62" width="2.3984375" customWidth="1"/>
    <col min="63" max="63" width="5.09765625" customWidth="1"/>
    <col min="64" max="64" width="4.69921875" customWidth="1"/>
    <col min="65" max="65" width="2.3984375" customWidth="1"/>
    <col min="66" max="66" width="5.09765625" customWidth="1"/>
    <col min="67" max="67" width="4.69921875" customWidth="1"/>
    <col min="68" max="68" width="2.3984375" customWidth="1"/>
    <col min="69" max="69" width="5.09765625" customWidth="1"/>
    <col min="70" max="74" width="4.69921875" customWidth="1"/>
  </cols>
  <sheetData>
    <row r="1" spans="1:74" ht="28.8" x14ac:dyDescent="0.25">
      <c r="A1" s="2"/>
      <c r="B1" s="4"/>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row>
    <row r="2" spans="1:74" ht="28.8" x14ac:dyDescent="0.25">
      <c r="A2" s="2"/>
      <c r="B2" s="41" t="s">
        <v>2</v>
      </c>
      <c r="C2" s="34"/>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row>
    <row r="3" spans="1:74" ht="21" x14ac:dyDescent="0.25">
      <c r="A3" s="2"/>
      <c r="B3" s="42" t="s">
        <v>3</v>
      </c>
      <c r="C3" s="34"/>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row>
    <row r="4" spans="1:74" ht="14.4" x14ac:dyDescent="0.25">
      <c r="A4" s="2"/>
      <c r="B4" s="2"/>
      <c r="C4" s="2"/>
      <c r="D4" s="2"/>
      <c r="E4" s="2"/>
      <c r="F4" s="2"/>
      <c r="G4" s="2"/>
      <c r="H4" s="8" t="s">
        <v>11</v>
      </c>
      <c r="I4" s="36" t="s">
        <v>4</v>
      </c>
      <c r="J4" s="29"/>
      <c r="K4" s="7"/>
      <c r="L4" s="28" t="s">
        <v>6</v>
      </c>
      <c r="M4" s="29"/>
      <c r="N4" s="7"/>
      <c r="O4" s="28" t="s">
        <v>7</v>
      </c>
      <c r="P4" s="29"/>
      <c r="Q4" s="7"/>
      <c r="R4" s="28" t="s">
        <v>8</v>
      </c>
      <c r="S4" s="29"/>
      <c r="T4" s="7"/>
      <c r="U4" s="28" t="s">
        <v>9</v>
      </c>
      <c r="V4" s="29"/>
      <c r="W4" s="7"/>
      <c r="X4" s="28" t="s">
        <v>10</v>
      </c>
      <c r="Y4" s="29"/>
      <c r="Z4" s="7"/>
      <c r="AA4" s="28" t="s">
        <v>12</v>
      </c>
      <c r="AB4" s="29"/>
      <c r="AC4" s="7"/>
      <c r="AD4" s="28" t="s">
        <v>13</v>
      </c>
      <c r="AE4" s="29"/>
      <c r="AF4" s="7"/>
      <c r="AG4" s="28" t="s">
        <v>14</v>
      </c>
      <c r="AH4" s="29"/>
      <c r="AI4" s="7"/>
      <c r="AJ4" s="28" t="s">
        <v>15</v>
      </c>
      <c r="AK4" s="29"/>
      <c r="AL4" s="7"/>
      <c r="AM4" s="28" t="s">
        <v>16</v>
      </c>
      <c r="AN4" s="29"/>
      <c r="AO4" s="7"/>
      <c r="AP4" s="28" t="s">
        <v>17</v>
      </c>
      <c r="AQ4" s="29"/>
      <c r="AR4" s="7"/>
      <c r="AS4" s="28" t="s">
        <v>19</v>
      </c>
      <c r="AT4" s="29"/>
      <c r="AU4" s="7"/>
      <c r="AV4" s="28" t="s">
        <v>20</v>
      </c>
      <c r="AW4" s="29"/>
      <c r="AX4" s="7"/>
      <c r="AY4" s="28" t="s">
        <v>21</v>
      </c>
      <c r="AZ4" s="29"/>
      <c r="BA4" s="7"/>
      <c r="BB4" s="28" t="s">
        <v>22</v>
      </c>
      <c r="BC4" s="29"/>
      <c r="BD4" s="7"/>
      <c r="BE4" s="28" t="s">
        <v>23</v>
      </c>
      <c r="BF4" s="29"/>
      <c r="BG4" s="7"/>
      <c r="BH4" s="28" t="s">
        <v>24</v>
      </c>
      <c r="BI4" s="29"/>
      <c r="BJ4" s="7"/>
      <c r="BK4" s="28" t="s">
        <v>25</v>
      </c>
      <c r="BL4" s="29"/>
      <c r="BM4" s="7"/>
      <c r="BN4" s="28" t="s">
        <v>26</v>
      </c>
      <c r="BO4" s="29"/>
      <c r="BP4" s="7"/>
      <c r="BQ4" s="28" t="s">
        <v>29</v>
      </c>
      <c r="BR4" s="29"/>
      <c r="BS4" s="2"/>
      <c r="BT4" s="2"/>
      <c r="BU4" s="2"/>
      <c r="BV4" s="2"/>
    </row>
    <row r="5" spans="1:74" ht="43.2" x14ac:dyDescent="0.25">
      <c r="A5" s="2"/>
      <c r="B5" s="9" t="s">
        <v>30</v>
      </c>
      <c r="C5" s="9" t="s">
        <v>31</v>
      </c>
      <c r="D5" s="9" t="s">
        <v>32</v>
      </c>
      <c r="E5" s="9" t="s">
        <v>33</v>
      </c>
      <c r="F5" s="9" t="s">
        <v>34</v>
      </c>
      <c r="G5" s="10" t="s">
        <v>35</v>
      </c>
      <c r="H5" s="11" t="s">
        <v>36</v>
      </c>
      <c r="I5" s="11" t="s">
        <v>37</v>
      </c>
      <c r="J5" s="11" t="s">
        <v>38</v>
      </c>
      <c r="K5" s="11"/>
      <c r="L5" s="11" t="s">
        <v>37</v>
      </c>
      <c r="M5" s="11" t="s">
        <v>38</v>
      </c>
      <c r="N5" s="11"/>
      <c r="O5" s="11" t="s">
        <v>37</v>
      </c>
      <c r="P5" s="11" t="s">
        <v>38</v>
      </c>
      <c r="Q5" s="11"/>
      <c r="R5" s="11" t="s">
        <v>37</v>
      </c>
      <c r="S5" s="11" t="s">
        <v>38</v>
      </c>
      <c r="T5" s="11"/>
      <c r="U5" s="11" t="s">
        <v>37</v>
      </c>
      <c r="V5" s="11" t="s">
        <v>38</v>
      </c>
      <c r="W5" s="11"/>
      <c r="X5" s="11" t="s">
        <v>37</v>
      </c>
      <c r="Y5" s="11" t="s">
        <v>38</v>
      </c>
      <c r="Z5" s="11"/>
      <c r="AA5" s="11" t="s">
        <v>37</v>
      </c>
      <c r="AB5" s="11" t="s">
        <v>38</v>
      </c>
      <c r="AC5" s="11"/>
      <c r="AD5" s="11" t="s">
        <v>37</v>
      </c>
      <c r="AE5" s="11" t="s">
        <v>38</v>
      </c>
      <c r="AF5" s="11"/>
      <c r="AG5" s="11" t="s">
        <v>37</v>
      </c>
      <c r="AH5" s="11" t="s">
        <v>38</v>
      </c>
      <c r="AI5" s="11"/>
      <c r="AJ5" s="11" t="s">
        <v>37</v>
      </c>
      <c r="AK5" s="11" t="s">
        <v>38</v>
      </c>
      <c r="AL5" s="11"/>
      <c r="AM5" s="11" t="s">
        <v>37</v>
      </c>
      <c r="AN5" s="11" t="s">
        <v>38</v>
      </c>
      <c r="AO5" s="11"/>
      <c r="AP5" s="11" t="s">
        <v>37</v>
      </c>
      <c r="AQ5" s="11" t="s">
        <v>38</v>
      </c>
      <c r="AR5" s="11"/>
      <c r="AS5" s="11" t="s">
        <v>37</v>
      </c>
      <c r="AT5" s="11" t="s">
        <v>38</v>
      </c>
      <c r="AU5" s="11"/>
      <c r="AV5" s="11" t="s">
        <v>37</v>
      </c>
      <c r="AW5" s="11" t="s">
        <v>38</v>
      </c>
      <c r="AX5" s="11"/>
      <c r="AY5" s="11" t="s">
        <v>37</v>
      </c>
      <c r="AZ5" s="11" t="s">
        <v>38</v>
      </c>
      <c r="BA5" s="11"/>
      <c r="BB5" s="11" t="s">
        <v>37</v>
      </c>
      <c r="BC5" s="11" t="s">
        <v>38</v>
      </c>
      <c r="BD5" s="11"/>
      <c r="BE5" s="11" t="s">
        <v>37</v>
      </c>
      <c r="BF5" s="11" t="s">
        <v>38</v>
      </c>
      <c r="BG5" s="11"/>
      <c r="BH5" s="11" t="s">
        <v>37</v>
      </c>
      <c r="BI5" s="11" t="s">
        <v>38</v>
      </c>
      <c r="BJ5" s="11"/>
      <c r="BK5" s="11" t="s">
        <v>37</v>
      </c>
      <c r="BL5" s="11" t="s">
        <v>38</v>
      </c>
      <c r="BM5" s="11"/>
      <c r="BN5" s="11" t="s">
        <v>37</v>
      </c>
      <c r="BO5" s="11" t="s">
        <v>38</v>
      </c>
      <c r="BP5" s="11"/>
      <c r="BQ5" s="11" t="s">
        <v>37</v>
      </c>
      <c r="BR5" s="11" t="s">
        <v>38</v>
      </c>
      <c r="BS5" s="2"/>
      <c r="BT5" s="2"/>
      <c r="BU5" s="2"/>
      <c r="BV5" s="2"/>
    </row>
    <row r="6" spans="1:74" ht="48.75" customHeight="1" x14ac:dyDescent="0.25">
      <c r="A6" s="2"/>
      <c r="B6" s="38" t="s">
        <v>46</v>
      </c>
      <c r="C6" s="38" t="s">
        <v>47</v>
      </c>
      <c r="D6" s="14" t="s">
        <v>48</v>
      </c>
      <c r="E6" s="14" t="s">
        <v>49</v>
      </c>
      <c r="F6" s="14" t="s">
        <v>50</v>
      </c>
      <c r="G6" s="14" t="s">
        <v>51</v>
      </c>
      <c r="H6" s="14">
        <v>4</v>
      </c>
      <c r="I6" s="14">
        <v>4</v>
      </c>
      <c r="J6" s="14">
        <f>H6-I6</f>
        <v>0</v>
      </c>
      <c r="K6" s="15"/>
      <c r="L6" s="14"/>
      <c r="M6" s="14">
        <f t="shared" ref="M6:M37" si="0">J6-L6</f>
        <v>0</v>
      </c>
      <c r="N6" s="15"/>
      <c r="O6" s="14"/>
      <c r="P6" s="14">
        <f t="shared" ref="P6:P37" si="1">M6-O6</f>
        <v>0</v>
      </c>
      <c r="Q6" s="15"/>
      <c r="R6" s="14"/>
      <c r="S6" s="14">
        <f t="shared" ref="S6:S37" si="2">P6-R6</f>
        <v>0</v>
      </c>
      <c r="T6" s="15"/>
      <c r="U6" s="14"/>
      <c r="V6" s="14">
        <f t="shared" ref="V6:V37" si="3">S6-U6</f>
        <v>0</v>
      </c>
      <c r="W6" s="15"/>
      <c r="X6" s="14"/>
      <c r="Y6" s="14">
        <f t="shared" ref="Y6:Y37" si="4">V6-X6</f>
        <v>0</v>
      </c>
      <c r="Z6" s="15"/>
      <c r="AA6" s="14"/>
      <c r="AB6" s="14">
        <f t="shared" ref="AB6:AB37" si="5">Y6-AA6</f>
        <v>0</v>
      </c>
      <c r="AC6" s="15"/>
      <c r="AD6" s="14"/>
      <c r="AE6" s="14">
        <f t="shared" ref="AE6:AE37" si="6">AB6-AD6</f>
        <v>0</v>
      </c>
      <c r="AF6" s="15"/>
      <c r="AG6" s="14"/>
      <c r="AH6" s="14">
        <f t="shared" ref="AH6:AH37" si="7">AE6-AG6</f>
        <v>0</v>
      </c>
      <c r="AI6" s="15"/>
      <c r="AJ6" s="14"/>
      <c r="AK6" s="14">
        <f t="shared" ref="AK6:AK37" si="8">AH6-AJ6</f>
        <v>0</v>
      </c>
      <c r="AL6" s="15"/>
      <c r="AM6" s="14"/>
      <c r="AN6" s="14">
        <f t="shared" ref="AN6:AN37" si="9">AK6-AM6</f>
        <v>0</v>
      </c>
      <c r="AO6" s="15"/>
      <c r="AP6" s="14"/>
      <c r="AQ6" s="14">
        <f t="shared" ref="AQ6:AQ37" si="10">AN6-AP6</f>
        <v>0</v>
      </c>
      <c r="AR6" s="15"/>
      <c r="AS6" s="14"/>
      <c r="AT6" s="14">
        <f t="shared" ref="AT6:AT37" si="11">AQ6-AS6</f>
        <v>0</v>
      </c>
      <c r="AU6" s="15"/>
      <c r="AV6" s="14"/>
      <c r="AW6" s="14">
        <f t="shared" ref="AW6:AW37" si="12">AT6-AV6</f>
        <v>0</v>
      </c>
      <c r="AX6" s="15"/>
      <c r="AY6" s="14"/>
      <c r="AZ6" s="14">
        <f t="shared" ref="AZ6:AZ16" si="13">AW6-AY6</f>
        <v>0</v>
      </c>
      <c r="BA6" s="15"/>
      <c r="BB6" s="14"/>
      <c r="BC6" s="14">
        <f t="shared" ref="BC6:BC37" si="14">AZ6-BB6</f>
        <v>0</v>
      </c>
      <c r="BD6" s="15"/>
      <c r="BE6" s="14"/>
      <c r="BF6" s="14">
        <f t="shared" ref="BF6:BF16" si="15">BC6-BE6</f>
        <v>0</v>
      </c>
      <c r="BG6" s="15"/>
      <c r="BH6" s="14"/>
      <c r="BI6" s="14">
        <f t="shared" ref="BI6:BI37" si="16">BF6-BH6</f>
        <v>0</v>
      </c>
      <c r="BJ6" s="15"/>
      <c r="BK6" s="14"/>
      <c r="BL6" s="14">
        <f t="shared" ref="BL6:BL37" si="17">BI6-BK6</f>
        <v>0</v>
      </c>
      <c r="BM6" s="15"/>
      <c r="BN6" s="14"/>
      <c r="BO6" s="14">
        <f t="shared" ref="BO6:BO37" si="18">BL6-BN6</f>
        <v>0</v>
      </c>
      <c r="BP6" s="15"/>
      <c r="BQ6" s="17">
        <f t="shared" ref="BQ6:BQ8" si="19">I6+L6+O6+R6+U6+X6+AA6+AD6+AG6+AJ6+AM6+AP6+AS6+AV6+AY6+BB6+BE6+BH6+BK6+BN6</f>
        <v>4</v>
      </c>
      <c r="BR6" s="17">
        <f t="shared" ref="BR6:BR37" si="20">H6-BQ6</f>
        <v>0</v>
      </c>
      <c r="BS6" s="2"/>
      <c r="BT6" s="2"/>
      <c r="BU6" s="2"/>
      <c r="BV6" s="2"/>
    </row>
    <row r="7" spans="1:74" ht="45" customHeight="1" x14ac:dyDescent="0.25">
      <c r="A7" s="2"/>
      <c r="B7" s="32"/>
      <c r="C7" s="32"/>
      <c r="D7" s="14" t="s">
        <v>77</v>
      </c>
      <c r="E7" s="14" t="s">
        <v>49</v>
      </c>
      <c r="F7" s="14" t="s">
        <v>50</v>
      </c>
      <c r="G7" s="14" t="s">
        <v>79</v>
      </c>
      <c r="H7" s="14">
        <v>6</v>
      </c>
      <c r="I7" s="14">
        <v>4</v>
      </c>
      <c r="J7" s="14">
        <v>2</v>
      </c>
      <c r="K7" s="15"/>
      <c r="L7" s="14">
        <v>2</v>
      </c>
      <c r="M7" s="14">
        <f t="shared" si="0"/>
        <v>0</v>
      </c>
      <c r="N7" s="15"/>
      <c r="O7" s="14"/>
      <c r="P7" s="14">
        <f t="shared" si="1"/>
        <v>0</v>
      </c>
      <c r="Q7" s="15"/>
      <c r="R7" s="14"/>
      <c r="S7" s="14">
        <f t="shared" si="2"/>
        <v>0</v>
      </c>
      <c r="T7" s="15"/>
      <c r="U7" s="14"/>
      <c r="V7" s="14">
        <f t="shared" si="3"/>
        <v>0</v>
      </c>
      <c r="W7" s="15"/>
      <c r="X7" s="14"/>
      <c r="Y7" s="14">
        <f t="shared" si="4"/>
        <v>0</v>
      </c>
      <c r="Z7" s="15"/>
      <c r="AA7" s="14"/>
      <c r="AB7" s="14">
        <f t="shared" si="5"/>
        <v>0</v>
      </c>
      <c r="AC7" s="15"/>
      <c r="AD7" s="14"/>
      <c r="AE7" s="14">
        <f t="shared" si="6"/>
        <v>0</v>
      </c>
      <c r="AF7" s="15"/>
      <c r="AG7" s="14"/>
      <c r="AH7" s="14">
        <f t="shared" si="7"/>
        <v>0</v>
      </c>
      <c r="AI7" s="15"/>
      <c r="AJ7" s="14"/>
      <c r="AK7" s="14">
        <f t="shared" si="8"/>
        <v>0</v>
      </c>
      <c r="AL7" s="15"/>
      <c r="AM7" s="14"/>
      <c r="AN7" s="14">
        <f t="shared" si="9"/>
        <v>0</v>
      </c>
      <c r="AO7" s="15"/>
      <c r="AP7" s="14"/>
      <c r="AQ7" s="14">
        <f t="shared" si="10"/>
        <v>0</v>
      </c>
      <c r="AR7" s="15"/>
      <c r="AS7" s="14"/>
      <c r="AT7" s="14">
        <f t="shared" si="11"/>
        <v>0</v>
      </c>
      <c r="AU7" s="15"/>
      <c r="AV7" s="14"/>
      <c r="AW7" s="14">
        <f t="shared" si="12"/>
        <v>0</v>
      </c>
      <c r="AX7" s="15"/>
      <c r="AY7" s="14"/>
      <c r="AZ7" s="14">
        <f t="shared" si="13"/>
        <v>0</v>
      </c>
      <c r="BA7" s="15"/>
      <c r="BB7" s="14"/>
      <c r="BC7" s="14">
        <f t="shared" si="14"/>
        <v>0</v>
      </c>
      <c r="BD7" s="15"/>
      <c r="BE7" s="14"/>
      <c r="BF7" s="14">
        <f t="shared" si="15"/>
        <v>0</v>
      </c>
      <c r="BG7" s="15"/>
      <c r="BH7" s="14"/>
      <c r="BI7" s="14">
        <f t="shared" si="16"/>
        <v>0</v>
      </c>
      <c r="BJ7" s="15"/>
      <c r="BK7" s="14"/>
      <c r="BL7" s="14">
        <f t="shared" si="17"/>
        <v>0</v>
      </c>
      <c r="BM7" s="15"/>
      <c r="BN7" s="14"/>
      <c r="BO7" s="14">
        <f t="shared" si="18"/>
        <v>0</v>
      </c>
      <c r="BP7" s="15"/>
      <c r="BQ7" s="17">
        <f t="shared" si="19"/>
        <v>6</v>
      </c>
      <c r="BR7" s="17">
        <f t="shared" si="20"/>
        <v>0</v>
      </c>
      <c r="BS7" s="2"/>
      <c r="BT7" s="2"/>
      <c r="BU7" s="2"/>
      <c r="BV7" s="2"/>
    </row>
    <row r="8" spans="1:74" ht="65.25" customHeight="1" x14ac:dyDescent="0.25">
      <c r="A8" s="2"/>
      <c r="B8" s="38" t="s">
        <v>83</v>
      </c>
      <c r="C8" s="38" t="s">
        <v>84</v>
      </c>
      <c r="D8" s="14" t="s">
        <v>85</v>
      </c>
      <c r="E8" s="14" t="s">
        <v>43</v>
      </c>
      <c r="F8" s="14" t="s">
        <v>44</v>
      </c>
      <c r="G8" s="14" t="s">
        <v>86</v>
      </c>
      <c r="H8" s="14">
        <v>6</v>
      </c>
      <c r="I8" s="14"/>
      <c r="J8" s="14">
        <f t="shared" ref="J8:J37" si="21">H8-I8</f>
        <v>6</v>
      </c>
      <c r="K8" s="15"/>
      <c r="L8" s="14"/>
      <c r="M8" s="14">
        <f t="shared" si="0"/>
        <v>6</v>
      </c>
      <c r="N8" s="15"/>
      <c r="O8" s="14"/>
      <c r="P8" s="14">
        <f t="shared" si="1"/>
        <v>6</v>
      </c>
      <c r="Q8" s="15"/>
      <c r="R8" s="14"/>
      <c r="S8" s="14">
        <f t="shared" si="2"/>
        <v>6</v>
      </c>
      <c r="T8" s="15"/>
      <c r="U8" s="14"/>
      <c r="V8" s="14">
        <f t="shared" si="3"/>
        <v>6</v>
      </c>
      <c r="W8" s="15"/>
      <c r="X8" s="14"/>
      <c r="Y8" s="14">
        <f t="shared" si="4"/>
        <v>6</v>
      </c>
      <c r="Z8" s="15"/>
      <c r="AA8" s="14"/>
      <c r="AB8" s="14">
        <f t="shared" si="5"/>
        <v>6</v>
      </c>
      <c r="AC8" s="15"/>
      <c r="AD8" s="14"/>
      <c r="AE8" s="14">
        <f t="shared" si="6"/>
        <v>6</v>
      </c>
      <c r="AF8" s="15"/>
      <c r="AG8" s="14"/>
      <c r="AH8" s="14">
        <f t="shared" si="7"/>
        <v>6</v>
      </c>
      <c r="AI8" s="15"/>
      <c r="AJ8" s="14"/>
      <c r="AK8" s="14">
        <f t="shared" si="8"/>
        <v>6</v>
      </c>
      <c r="AL8" s="15"/>
      <c r="AM8" s="14"/>
      <c r="AN8" s="14">
        <f t="shared" si="9"/>
        <v>6</v>
      </c>
      <c r="AO8" s="15"/>
      <c r="AP8" s="14"/>
      <c r="AQ8" s="14">
        <f t="shared" si="10"/>
        <v>6</v>
      </c>
      <c r="AR8" s="15"/>
      <c r="AS8" s="14"/>
      <c r="AT8" s="14">
        <f t="shared" si="11"/>
        <v>6</v>
      </c>
      <c r="AU8" s="15"/>
      <c r="AV8" s="14"/>
      <c r="AW8" s="14">
        <f t="shared" si="12"/>
        <v>6</v>
      </c>
      <c r="AX8" s="15"/>
      <c r="AY8" s="14"/>
      <c r="AZ8" s="14">
        <f t="shared" si="13"/>
        <v>6</v>
      </c>
      <c r="BA8" s="15"/>
      <c r="BB8" s="14"/>
      <c r="BC8" s="14">
        <f t="shared" si="14"/>
        <v>6</v>
      </c>
      <c r="BD8" s="15"/>
      <c r="BE8" s="14"/>
      <c r="BF8" s="14">
        <f t="shared" si="15"/>
        <v>6</v>
      </c>
      <c r="BG8" s="15"/>
      <c r="BH8" s="14"/>
      <c r="BI8" s="14">
        <f t="shared" si="16"/>
        <v>6</v>
      </c>
      <c r="BJ8" s="15"/>
      <c r="BK8" s="14"/>
      <c r="BL8" s="14">
        <f t="shared" si="17"/>
        <v>6</v>
      </c>
      <c r="BM8" s="15"/>
      <c r="BN8" s="14"/>
      <c r="BO8" s="14">
        <f t="shared" si="18"/>
        <v>6</v>
      </c>
      <c r="BP8" s="15"/>
      <c r="BQ8" s="17">
        <f t="shared" si="19"/>
        <v>0</v>
      </c>
      <c r="BR8" s="17">
        <f t="shared" si="20"/>
        <v>6</v>
      </c>
      <c r="BS8" s="2"/>
      <c r="BT8" s="2"/>
      <c r="BU8" s="2"/>
      <c r="BV8" s="2"/>
    </row>
    <row r="9" spans="1:74" ht="65.25" customHeight="1" x14ac:dyDescent="0.25">
      <c r="A9" s="2"/>
      <c r="B9" s="31"/>
      <c r="C9" s="31"/>
      <c r="D9" s="14" t="s">
        <v>91</v>
      </c>
      <c r="E9" s="14" t="s">
        <v>49</v>
      </c>
      <c r="F9" s="14" t="s">
        <v>44</v>
      </c>
      <c r="G9" s="14" t="s">
        <v>92</v>
      </c>
      <c r="H9" s="14">
        <v>4</v>
      </c>
      <c r="I9" s="14"/>
      <c r="J9" s="14">
        <f t="shared" si="21"/>
        <v>4</v>
      </c>
      <c r="K9" s="15"/>
      <c r="L9" s="14"/>
      <c r="M9" s="14">
        <f t="shared" si="0"/>
        <v>4</v>
      </c>
      <c r="N9" s="15"/>
      <c r="O9" s="14"/>
      <c r="P9" s="14">
        <f t="shared" si="1"/>
        <v>4</v>
      </c>
      <c r="Q9" s="15"/>
      <c r="R9" s="14"/>
      <c r="S9" s="14">
        <f t="shared" si="2"/>
        <v>4</v>
      </c>
      <c r="T9" s="15"/>
      <c r="U9" s="14"/>
      <c r="V9" s="14">
        <f t="shared" si="3"/>
        <v>4</v>
      </c>
      <c r="W9" s="15"/>
      <c r="X9" s="14"/>
      <c r="Y9" s="14">
        <f t="shared" si="4"/>
        <v>4</v>
      </c>
      <c r="Z9" s="15"/>
      <c r="AA9" s="14"/>
      <c r="AB9" s="14">
        <f t="shared" si="5"/>
        <v>4</v>
      </c>
      <c r="AC9" s="15"/>
      <c r="AD9" s="14"/>
      <c r="AE9" s="14">
        <f t="shared" si="6"/>
        <v>4</v>
      </c>
      <c r="AF9" s="15"/>
      <c r="AG9" s="14"/>
      <c r="AH9" s="14">
        <f t="shared" si="7"/>
        <v>4</v>
      </c>
      <c r="AI9" s="15"/>
      <c r="AJ9" s="14"/>
      <c r="AK9" s="14">
        <f t="shared" si="8"/>
        <v>4</v>
      </c>
      <c r="AL9" s="15"/>
      <c r="AM9" s="14"/>
      <c r="AN9" s="14">
        <f t="shared" si="9"/>
        <v>4</v>
      </c>
      <c r="AO9" s="15"/>
      <c r="AP9" s="14"/>
      <c r="AQ9" s="14">
        <f t="shared" si="10"/>
        <v>4</v>
      </c>
      <c r="AR9" s="15"/>
      <c r="AS9" s="14"/>
      <c r="AT9" s="14">
        <f t="shared" si="11"/>
        <v>4</v>
      </c>
      <c r="AU9" s="15"/>
      <c r="AV9" s="14"/>
      <c r="AW9" s="14">
        <f t="shared" si="12"/>
        <v>4</v>
      </c>
      <c r="AX9" s="15"/>
      <c r="AY9" s="14"/>
      <c r="AZ9" s="14">
        <f t="shared" si="13"/>
        <v>4</v>
      </c>
      <c r="BA9" s="15"/>
      <c r="BB9" s="14"/>
      <c r="BC9" s="14">
        <f t="shared" si="14"/>
        <v>4</v>
      </c>
      <c r="BD9" s="15"/>
      <c r="BE9" s="14"/>
      <c r="BF9" s="14">
        <f t="shared" si="15"/>
        <v>4</v>
      </c>
      <c r="BG9" s="15"/>
      <c r="BH9" s="14"/>
      <c r="BI9" s="14">
        <f t="shared" si="16"/>
        <v>4</v>
      </c>
      <c r="BJ9" s="15"/>
      <c r="BK9" s="14"/>
      <c r="BL9" s="14">
        <f t="shared" si="17"/>
        <v>4</v>
      </c>
      <c r="BM9" s="15"/>
      <c r="BN9" s="14"/>
      <c r="BO9" s="14">
        <f t="shared" si="18"/>
        <v>4</v>
      </c>
      <c r="BP9" s="15"/>
      <c r="BQ9" s="17"/>
      <c r="BR9" s="17">
        <f t="shared" si="20"/>
        <v>4</v>
      </c>
      <c r="BS9" s="2"/>
      <c r="BT9" s="2"/>
      <c r="BU9" s="2"/>
      <c r="BV9" s="2"/>
    </row>
    <row r="10" spans="1:74" ht="28.8" x14ac:dyDescent="0.25">
      <c r="A10" s="2"/>
      <c r="B10" s="31"/>
      <c r="C10" s="31"/>
      <c r="D10" s="14" t="s">
        <v>97</v>
      </c>
      <c r="E10" s="14" t="s">
        <v>43</v>
      </c>
      <c r="F10" s="14" t="s">
        <v>44</v>
      </c>
      <c r="G10" s="14" t="s">
        <v>98</v>
      </c>
      <c r="H10" s="14">
        <v>4</v>
      </c>
      <c r="I10" s="14"/>
      <c r="J10" s="14">
        <f t="shared" si="21"/>
        <v>4</v>
      </c>
      <c r="K10" s="15"/>
      <c r="L10" s="14"/>
      <c r="M10" s="14">
        <f t="shared" si="0"/>
        <v>4</v>
      </c>
      <c r="N10" s="15"/>
      <c r="O10" s="14"/>
      <c r="P10" s="14">
        <f t="shared" si="1"/>
        <v>4</v>
      </c>
      <c r="Q10" s="15"/>
      <c r="R10" s="14"/>
      <c r="S10" s="14">
        <f t="shared" si="2"/>
        <v>4</v>
      </c>
      <c r="T10" s="15"/>
      <c r="U10" s="14"/>
      <c r="V10" s="14">
        <f t="shared" si="3"/>
        <v>4</v>
      </c>
      <c r="W10" s="15"/>
      <c r="X10" s="14"/>
      <c r="Y10" s="14">
        <f t="shared" si="4"/>
        <v>4</v>
      </c>
      <c r="Z10" s="15"/>
      <c r="AA10" s="14"/>
      <c r="AB10" s="14">
        <f t="shared" si="5"/>
        <v>4</v>
      </c>
      <c r="AC10" s="15"/>
      <c r="AD10" s="14"/>
      <c r="AE10" s="14">
        <f t="shared" si="6"/>
        <v>4</v>
      </c>
      <c r="AF10" s="15"/>
      <c r="AG10" s="14"/>
      <c r="AH10" s="14">
        <f t="shared" si="7"/>
        <v>4</v>
      </c>
      <c r="AI10" s="15"/>
      <c r="AJ10" s="14"/>
      <c r="AK10" s="14">
        <f t="shared" si="8"/>
        <v>4</v>
      </c>
      <c r="AL10" s="15"/>
      <c r="AM10" s="14"/>
      <c r="AN10" s="14">
        <f t="shared" si="9"/>
        <v>4</v>
      </c>
      <c r="AO10" s="15"/>
      <c r="AP10" s="14"/>
      <c r="AQ10" s="14">
        <f t="shared" si="10"/>
        <v>4</v>
      </c>
      <c r="AR10" s="15"/>
      <c r="AS10" s="14"/>
      <c r="AT10" s="14">
        <f t="shared" si="11"/>
        <v>4</v>
      </c>
      <c r="AU10" s="15"/>
      <c r="AV10" s="14"/>
      <c r="AW10" s="14">
        <f t="shared" si="12"/>
        <v>4</v>
      </c>
      <c r="AX10" s="15"/>
      <c r="AY10" s="14"/>
      <c r="AZ10" s="14">
        <f t="shared" si="13"/>
        <v>4</v>
      </c>
      <c r="BA10" s="15"/>
      <c r="BB10" s="14"/>
      <c r="BC10" s="14">
        <f t="shared" si="14"/>
        <v>4</v>
      </c>
      <c r="BD10" s="15"/>
      <c r="BE10" s="14"/>
      <c r="BF10" s="14">
        <f t="shared" si="15"/>
        <v>4</v>
      </c>
      <c r="BG10" s="15"/>
      <c r="BH10" s="14"/>
      <c r="BI10" s="14">
        <f t="shared" si="16"/>
        <v>4</v>
      </c>
      <c r="BJ10" s="15"/>
      <c r="BK10" s="14"/>
      <c r="BL10" s="14">
        <f t="shared" si="17"/>
        <v>4</v>
      </c>
      <c r="BM10" s="15"/>
      <c r="BN10" s="14"/>
      <c r="BO10" s="14">
        <f t="shared" si="18"/>
        <v>4</v>
      </c>
      <c r="BP10" s="15"/>
      <c r="BQ10" s="17">
        <f t="shared" ref="BQ10:BQ37" si="22">I10+L10+O10+R10+U10+X10+AA10+AD10+AG10+AJ10+AM10+AP10+AS10+AV10+AY10+BB10+BE10+BH10+BK10+BN10</f>
        <v>0</v>
      </c>
      <c r="BR10" s="17">
        <f t="shared" si="20"/>
        <v>4</v>
      </c>
      <c r="BS10" s="2"/>
      <c r="BT10" s="2"/>
      <c r="BU10" s="2"/>
      <c r="BV10" s="2"/>
    </row>
    <row r="11" spans="1:74" ht="43.2" x14ac:dyDescent="0.25">
      <c r="A11" s="2"/>
      <c r="B11" s="32"/>
      <c r="C11" s="32"/>
      <c r="D11" s="18" t="s">
        <v>105</v>
      </c>
      <c r="E11" s="14" t="s">
        <v>49</v>
      </c>
      <c r="F11" s="14" t="s">
        <v>44</v>
      </c>
      <c r="G11" s="19" t="s">
        <v>106</v>
      </c>
      <c r="H11" s="14">
        <v>4</v>
      </c>
      <c r="I11" s="14"/>
      <c r="J11" s="14">
        <f t="shared" si="21"/>
        <v>4</v>
      </c>
      <c r="K11" s="15"/>
      <c r="L11" s="14"/>
      <c r="M11" s="14">
        <f t="shared" si="0"/>
        <v>4</v>
      </c>
      <c r="N11" s="15"/>
      <c r="O11" s="14"/>
      <c r="P11" s="14">
        <f t="shared" si="1"/>
        <v>4</v>
      </c>
      <c r="Q11" s="15"/>
      <c r="R11" s="14"/>
      <c r="S11" s="14">
        <f t="shared" si="2"/>
        <v>4</v>
      </c>
      <c r="T11" s="15"/>
      <c r="U11" s="14"/>
      <c r="V11" s="14">
        <f t="shared" si="3"/>
        <v>4</v>
      </c>
      <c r="W11" s="15"/>
      <c r="X11" s="14"/>
      <c r="Y11" s="14">
        <f t="shared" si="4"/>
        <v>4</v>
      </c>
      <c r="Z11" s="15"/>
      <c r="AA11" s="14"/>
      <c r="AB11" s="14">
        <f t="shared" si="5"/>
        <v>4</v>
      </c>
      <c r="AC11" s="15"/>
      <c r="AD11" s="14"/>
      <c r="AE11" s="14">
        <f t="shared" si="6"/>
        <v>4</v>
      </c>
      <c r="AF11" s="15"/>
      <c r="AG11" s="14"/>
      <c r="AH11" s="14">
        <f t="shared" si="7"/>
        <v>4</v>
      </c>
      <c r="AI11" s="15"/>
      <c r="AJ11" s="14"/>
      <c r="AK11" s="14">
        <f t="shared" si="8"/>
        <v>4</v>
      </c>
      <c r="AL11" s="15"/>
      <c r="AM11" s="14"/>
      <c r="AN11" s="14">
        <f t="shared" si="9"/>
        <v>4</v>
      </c>
      <c r="AO11" s="15"/>
      <c r="AP11" s="14"/>
      <c r="AQ11" s="14">
        <f t="shared" si="10"/>
        <v>4</v>
      </c>
      <c r="AR11" s="15"/>
      <c r="AS11" s="14"/>
      <c r="AT11" s="14">
        <f t="shared" si="11"/>
        <v>4</v>
      </c>
      <c r="AU11" s="15"/>
      <c r="AV11" s="14"/>
      <c r="AW11" s="14">
        <f t="shared" si="12"/>
        <v>4</v>
      </c>
      <c r="AX11" s="15"/>
      <c r="AY11" s="14"/>
      <c r="AZ11" s="14">
        <f t="shared" si="13"/>
        <v>4</v>
      </c>
      <c r="BA11" s="15"/>
      <c r="BB11" s="14"/>
      <c r="BC11" s="14">
        <f t="shared" si="14"/>
        <v>4</v>
      </c>
      <c r="BD11" s="15"/>
      <c r="BE11" s="14"/>
      <c r="BF11" s="14">
        <f t="shared" si="15"/>
        <v>4</v>
      </c>
      <c r="BG11" s="15"/>
      <c r="BH11" s="14"/>
      <c r="BI11" s="14">
        <f t="shared" si="16"/>
        <v>4</v>
      </c>
      <c r="BJ11" s="15"/>
      <c r="BK11" s="14"/>
      <c r="BL11" s="14">
        <f t="shared" si="17"/>
        <v>4</v>
      </c>
      <c r="BM11" s="15"/>
      <c r="BN11" s="14"/>
      <c r="BO11" s="14">
        <f t="shared" si="18"/>
        <v>4</v>
      </c>
      <c r="BP11" s="15"/>
      <c r="BQ11" s="17">
        <f t="shared" si="22"/>
        <v>0</v>
      </c>
      <c r="BR11" s="17">
        <f t="shared" si="20"/>
        <v>4</v>
      </c>
      <c r="BS11" s="2"/>
      <c r="BT11" s="2"/>
      <c r="BU11" s="2"/>
      <c r="BV11" s="2"/>
    </row>
    <row r="12" spans="1:74" ht="42" customHeight="1" x14ac:dyDescent="0.25">
      <c r="A12" s="2"/>
      <c r="B12" s="38" t="s">
        <v>114</v>
      </c>
      <c r="C12" s="40" t="s">
        <v>116</v>
      </c>
      <c r="D12" s="14" t="s">
        <v>117</v>
      </c>
      <c r="E12" s="14" t="s">
        <v>43</v>
      </c>
      <c r="F12" s="14" t="s">
        <v>44</v>
      </c>
      <c r="G12" s="14" t="s">
        <v>118</v>
      </c>
      <c r="H12" s="14">
        <v>4</v>
      </c>
      <c r="I12" s="14"/>
      <c r="J12" s="14">
        <f t="shared" si="21"/>
        <v>4</v>
      </c>
      <c r="K12" s="15"/>
      <c r="L12" s="14"/>
      <c r="M12" s="14">
        <f t="shared" si="0"/>
        <v>4</v>
      </c>
      <c r="N12" s="15"/>
      <c r="O12" s="14"/>
      <c r="P12" s="14">
        <f t="shared" si="1"/>
        <v>4</v>
      </c>
      <c r="Q12" s="15"/>
      <c r="R12" s="14"/>
      <c r="S12" s="14">
        <f t="shared" si="2"/>
        <v>4</v>
      </c>
      <c r="T12" s="15"/>
      <c r="U12" s="14"/>
      <c r="V12" s="14">
        <f t="shared" si="3"/>
        <v>4</v>
      </c>
      <c r="W12" s="15"/>
      <c r="X12" s="14"/>
      <c r="Y12" s="14">
        <f t="shared" si="4"/>
        <v>4</v>
      </c>
      <c r="Z12" s="15"/>
      <c r="AA12" s="14"/>
      <c r="AB12" s="14">
        <f t="shared" si="5"/>
        <v>4</v>
      </c>
      <c r="AC12" s="15"/>
      <c r="AD12" s="14"/>
      <c r="AE12" s="14">
        <f t="shared" si="6"/>
        <v>4</v>
      </c>
      <c r="AF12" s="15"/>
      <c r="AG12" s="14"/>
      <c r="AH12" s="14">
        <f t="shared" si="7"/>
        <v>4</v>
      </c>
      <c r="AI12" s="15"/>
      <c r="AJ12" s="14"/>
      <c r="AK12" s="14">
        <f t="shared" si="8"/>
        <v>4</v>
      </c>
      <c r="AL12" s="15"/>
      <c r="AM12" s="14"/>
      <c r="AN12" s="14">
        <f t="shared" si="9"/>
        <v>4</v>
      </c>
      <c r="AO12" s="15"/>
      <c r="AP12" s="14"/>
      <c r="AQ12" s="14">
        <f t="shared" si="10"/>
        <v>4</v>
      </c>
      <c r="AR12" s="15"/>
      <c r="AS12" s="14"/>
      <c r="AT12" s="14">
        <f t="shared" si="11"/>
        <v>4</v>
      </c>
      <c r="AU12" s="15"/>
      <c r="AV12" s="14"/>
      <c r="AW12" s="14">
        <f t="shared" si="12"/>
        <v>4</v>
      </c>
      <c r="AX12" s="15"/>
      <c r="AY12" s="14"/>
      <c r="AZ12" s="14">
        <f t="shared" si="13"/>
        <v>4</v>
      </c>
      <c r="BA12" s="15"/>
      <c r="BB12" s="14"/>
      <c r="BC12" s="14">
        <f t="shared" si="14"/>
        <v>4</v>
      </c>
      <c r="BD12" s="15"/>
      <c r="BE12" s="14"/>
      <c r="BF12" s="14">
        <f t="shared" si="15"/>
        <v>4</v>
      </c>
      <c r="BG12" s="15"/>
      <c r="BH12" s="14"/>
      <c r="BI12" s="14">
        <f t="shared" si="16"/>
        <v>4</v>
      </c>
      <c r="BJ12" s="15"/>
      <c r="BK12" s="14"/>
      <c r="BL12" s="14">
        <f t="shared" si="17"/>
        <v>4</v>
      </c>
      <c r="BM12" s="15"/>
      <c r="BN12" s="14"/>
      <c r="BO12" s="14">
        <f t="shared" si="18"/>
        <v>4</v>
      </c>
      <c r="BP12" s="15"/>
      <c r="BQ12" s="17">
        <f t="shared" si="22"/>
        <v>0</v>
      </c>
      <c r="BR12" s="17">
        <f t="shared" si="20"/>
        <v>4</v>
      </c>
      <c r="BS12" s="2"/>
      <c r="BT12" s="2"/>
      <c r="BU12" s="2"/>
      <c r="BV12" s="2"/>
    </row>
    <row r="13" spans="1:74" ht="42.75" customHeight="1" x14ac:dyDescent="0.25">
      <c r="A13" s="2"/>
      <c r="B13" s="31"/>
      <c r="C13" s="31"/>
      <c r="D13" s="14" t="s">
        <v>127</v>
      </c>
      <c r="E13" s="14" t="s">
        <v>43</v>
      </c>
      <c r="F13" s="14" t="s">
        <v>44</v>
      </c>
      <c r="G13" s="14" t="s">
        <v>128</v>
      </c>
      <c r="H13" s="14">
        <v>6</v>
      </c>
      <c r="I13" s="14"/>
      <c r="J13" s="14">
        <f t="shared" si="21"/>
        <v>6</v>
      </c>
      <c r="K13" s="15"/>
      <c r="L13" s="14"/>
      <c r="M13" s="14">
        <f t="shared" si="0"/>
        <v>6</v>
      </c>
      <c r="N13" s="15"/>
      <c r="O13" s="14"/>
      <c r="P13" s="14">
        <f t="shared" si="1"/>
        <v>6</v>
      </c>
      <c r="Q13" s="15"/>
      <c r="R13" s="14"/>
      <c r="S13" s="14">
        <f t="shared" si="2"/>
        <v>6</v>
      </c>
      <c r="T13" s="15"/>
      <c r="U13" s="14"/>
      <c r="V13" s="14">
        <f t="shared" si="3"/>
        <v>6</v>
      </c>
      <c r="W13" s="15"/>
      <c r="X13" s="14"/>
      <c r="Y13" s="14">
        <f t="shared" si="4"/>
        <v>6</v>
      </c>
      <c r="Z13" s="15"/>
      <c r="AA13" s="14"/>
      <c r="AB13" s="14">
        <f t="shared" si="5"/>
        <v>6</v>
      </c>
      <c r="AC13" s="15"/>
      <c r="AD13" s="14"/>
      <c r="AE13" s="14">
        <f t="shared" si="6"/>
        <v>6</v>
      </c>
      <c r="AF13" s="15"/>
      <c r="AG13" s="14"/>
      <c r="AH13" s="14">
        <f t="shared" si="7"/>
        <v>6</v>
      </c>
      <c r="AI13" s="15"/>
      <c r="AJ13" s="14"/>
      <c r="AK13" s="14">
        <f t="shared" si="8"/>
        <v>6</v>
      </c>
      <c r="AL13" s="15"/>
      <c r="AM13" s="14"/>
      <c r="AN13" s="14">
        <f t="shared" si="9"/>
        <v>6</v>
      </c>
      <c r="AO13" s="15"/>
      <c r="AP13" s="14"/>
      <c r="AQ13" s="14">
        <f t="shared" si="10"/>
        <v>6</v>
      </c>
      <c r="AR13" s="15"/>
      <c r="AS13" s="14"/>
      <c r="AT13" s="14">
        <f t="shared" si="11"/>
        <v>6</v>
      </c>
      <c r="AU13" s="15"/>
      <c r="AV13" s="14"/>
      <c r="AW13" s="14">
        <f t="shared" si="12"/>
        <v>6</v>
      </c>
      <c r="AX13" s="15"/>
      <c r="AY13" s="14"/>
      <c r="AZ13" s="14">
        <f t="shared" si="13"/>
        <v>6</v>
      </c>
      <c r="BA13" s="15"/>
      <c r="BB13" s="14"/>
      <c r="BC13" s="14">
        <f t="shared" si="14"/>
        <v>6</v>
      </c>
      <c r="BD13" s="15"/>
      <c r="BE13" s="14"/>
      <c r="BF13" s="14">
        <f t="shared" si="15"/>
        <v>6</v>
      </c>
      <c r="BG13" s="15"/>
      <c r="BH13" s="14"/>
      <c r="BI13" s="14">
        <f t="shared" si="16"/>
        <v>6</v>
      </c>
      <c r="BJ13" s="15"/>
      <c r="BK13" s="14"/>
      <c r="BL13" s="14">
        <f t="shared" si="17"/>
        <v>6</v>
      </c>
      <c r="BM13" s="15"/>
      <c r="BN13" s="14"/>
      <c r="BO13" s="14">
        <f t="shared" si="18"/>
        <v>6</v>
      </c>
      <c r="BP13" s="15"/>
      <c r="BQ13" s="17">
        <f t="shared" si="22"/>
        <v>0</v>
      </c>
      <c r="BR13" s="17">
        <f t="shared" si="20"/>
        <v>6</v>
      </c>
      <c r="BS13" s="2"/>
      <c r="BT13" s="2"/>
      <c r="BU13" s="2"/>
      <c r="BV13" s="2"/>
    </row>
    <row r="14" spans="1:74" ht="42.75" customHeight="1" x14ac:dyDescent="0.25">
      <c r="A14" s="2"/>
      <c r="B14" s="31"/>
      <c r="C14" s="31"/>
      <c r="D14" s="14" t="s">
        <v>131</v>
      </c>
      <c r="E14" s="14" t="s">
        <v>49</v>
      </c>
      <c r="F14" s="14" t="s">
        <v>44</v>
      </c>
      <c r="G14" s="14" t="s">
        <v>133</v>
      </c>
      <c r="H14" s="14">
        <v>2</v>
      </c>
      <c r="I14" s="14"/>
      <c r="J14" s="14">
        <f t="shared" si="21"/>
        <v>2</v>
      </c>
      <c r="K14" s="15"/>
      <c r="L14" s="14"/>
      <c r="M14" s="14">
        <f t="shared" si="0"/>
        <v>2</v>
      </c>
      <c r="N14" s="15"/>
      <c r="O14" s="14"/>
      <c r="P14" s="14">
        <f t="shared" si="1"/>
        <v>2</v>
      </c>
      <c r="Q14" s="15"/>
      <c r="R14" s="14"/>
      <c r="S14" s="14">
        <f t="shared" si="2"/>
        <v>2</v>
      </c>
      <c r="T14" s="15"/>
      <c r="U14" s="14"/>
      <c r="V14" s="14">
        <f t="shared" si="3"/>
        <v>2</v>
      </c>
      <c r="W14" s="15"/>
      <c r="X14" s="14"/>
      <c r="Y14" s="14">
        <f t="shared" si="4"/>
        <v>2</v>
      </c>
      <c r="Z14" s="15"/>
      <c r="AA14" s="14"/>
      <c r="AB14" s="14">
        <f t="shared" si="5"/>
        <v>2</v>
      </c>
      <c r="AC14" s="15"/>
      <c r="AD14" s="14"/>
      <c r="AE14" s="14">
        <f t="shared" si="6"/>
        <v>2</v>
      </c>
      <c r="AF14" s="15"/>
      <c r="AG14" s="14"/>
      <c r="AH14" s="14">
        <f t="shared" si="7"/>
        <v>2</v>
      </c>
      <c r="AI14" s="15"/>
      <c r="AJ14" s="14"/>
      <c r="AK14" s="14">
        <f t="shared" si="8"/>
        <v>2</v>
      </c>
      <c r="AL14" s="15"/>
      <c r="AM14" s="14"/>
      <c r="AN14" s="14">
        <f t="shared" si="9"/>
        <v>2</v>
      </c>
      <c r="AO14" s="15"/>
      <c r="AP14" s="14"/>
      <c r="AQ14" s="14">
        <f t="shared" si="10"/>
        <v>2</v>
      </c>
      <c r="AR14" s="15"/>
      <c r="AS14" s="14"/>
      <c r="AT14" s="14">
        <f t="shared" si="11"/>
        <v>2</v>
      </c>
      <c r="AU14" s="15"/>
      <c r="AV14" s="14"/>
      <c r="AW14" s="14">
        <f t="shared" si="12"/>
        <v>2</v>
      </c>
      <c r="AX14" s="15"/>
      <c r="AY14" s="14"/>
      <c r="AZ14" s="14">
        <f t="shared" si="13"/>
        <v>2</v>
      </c>
      <c r="BA14" s="15"/>
      <c r="BB14" s="14"/>
      <c r="BC14" s="14">
        <f t="shared" si="14"/>
        <v>2</v>
      </c>
      <c r="BD14" s="15"/>
      <c r="BE14" s="14"/>
      <c r="BF14" s="14">
        <f t="shared" si="15"/>
        <v>2</v>
      </c>
      <c r="BG14" s="15"/>
      <c r="BH14" s="14"/>
      <c r="BI14" s="14">
        <f t="shared" si="16"/>
        <v>2</v>
      </c>
      <c r="BJ14" s="15"/>
      <c r="BK14" s="14"/>
      <c r="BL14" s="14">
        <f t="shared" si="17"/>
        <v>2</v>
      </c>
      <c r="BM14" s="15"/>
      <c r="BN14" s="14"/>
      <c r="BO14" s="14">
        <f t="shared" si="18"/>
        <v>2</v>
      </c>
      <c r="BP14" s="15"/>
      <c r="BQ14" s="17">
        <f t="shared" si="22"/>
        <v>0</v>
      </c>
      <c r="BR14" s="17">
        <f t="shared" si="20"/>
        <v>2</v>
      </c>
      <c r="BS14" s="2"/>
      <c r="BT14" s="2"/>
      <c r="BU14" s="2"/>
      <c r="BV14" s="2"/>
    </row>
    <row r="15" spans="1:74" ht="42.75" customHeight="1" x14ac:dyDescent="0.25">
      <c r="A15" s="2"/>
      <c r="B15" s="31"/>
      <c r="C15" s="31"/>
      <c r="D15" s="14" t="s">
        <v>135</v>
      </c>
      <c r="E15" s="14" t="s">
        <v>43</v>
      </c>
      <c r="F15" s="14" t="s">
        <v>44</v>
      </c>
      <c r="G15" s="14" t="s">
        <v>136</v>
      </c>
      <c r="H15" s="14">
        <v>4</v>
      </c>
      <c r="I15" s="14"/>
      <c r="J15" s="14">
        <f t="shared" si="21"/>
        <v>4</v>
      </c>
      <c r="K15" s="15"/>
      <c r="L15" s="14"/>
      <c r="M15" s="14">
        <f t="shared" si="0"/>
        <v>4</v>
      </c>
      <c r="N15" s="15"/>
      <c r="O15" s="14"/>
      <c r="P15" s="14">
        <f t="shared" si="1"/>
        <v>4</v>
      </c>
      <c r="Q15" s="15"/>
      <c r="R15" s="14"/>
      <c r="S15" s="14">
        <f t="shared" si="2"/>
        <v>4</v>
      </c>
      <c r="T15" s="15"/>
      <c r="U15" s="14"/>
      <c r="V15" s="14">
        <f t="shared" si="3"/>
        <v>4</v>
      </c>
      <c r="W15" s="15"/>
      <c r="X15" s="14"/>
      <c r="Y15" s="14">
        <f t="shared" si="4"/>
        <v>4</v>
      </c>
      <c r="Z15" s="15"/>
      <c r="AA15" s="14"/>
      <c r="AB15" s="14">
        <f t="shared" si="5"/>
        <v>4</v>
      </c>
      <c r="AC15" s="15"/>
      <c r="AD15" s="14"/>
      <c r="AE15" s="14">
        <f t="shared" si="6"/>
        <v>4</v>
      </c>
      <c r="AF15" s="15"/>
      <c r="AG15" s="14"/>
      <c r="AH15" s="14">
        <f t="shared" si="7"/>
        <v>4</v>
      </c>
      <c r="AI15" s="15"/>
      <c r="AJ15" s="14"/>
      <c r="AK15" s="14">
        <f t="shared" si="8"/>
        <v>4</v>
      </c>
      <c r="AL15" s="15"/>
      <c r="AM15" s="14"/>
      <c r="AN15" s="14">
        <f t="shared" si="9"/>
        <v>4</v>
      </c>
      <c r="AO15" s="15"/>
      <c r="AP15" s="14"/>
      <c r="AQ15" s="14">
        <f t="shared" si="10"/>
        <v>4</v>
      </c>
      <c r="AR15" s="15"/>
      <c r="AS15" s="14"/>
      <c r="AT15" s="14">
        <f t="shared" si="11"/>
        <v>4</v>
      </c>
      <c r="AU15" s="15"/>
      <c r="AV15" s="14"/>
      <c r="AW15" s="14">
        <f t="shared" si="12"/>
        <v>4</v>
      </c>
      <c r="AX15" s="15"/>
      <c r="AY15" s="14"/>
      <c r="AZ15" s="14">
        <f t="shared" si="13"/>
        <v>4</v>
      </c>
      <c r="BA15" s="15"/>
      <c r="BB15" s="14"/>
      <c r="BC15" s="14">
        <f t="shared" si="14"/>
        <v>4</v>
      </c>
      <c r="BD15" s="15"/>
      <c r="BE15" s="14"/>
      <c r="BF15" s="14">
        <f t="shared" si="15"/>
        <v>4</v>
      </c>
      <c r="BG15" s="15"/>
      <c r="BH15" s="14"/>
      <c r="BI15" s="14">
        <f t="shared" si="16"/>
        <v>4</v>
      </c>
      <c r="BJ15" s="15"/>
      <c r="BK15" s="14"/>
      <c r="BL15" s="14">
        <f t="shared" si="17"/>
        <v>4</v>
      </c>
      <c r="BM15" s="15"/>
      <c r="BN15" s="14"/>
      <c r="BO15" s="14">
        <f t="shared" si="18"/>
        <v>4</v>
      </c>
      <c r="BP15" s="15"/>
      <c r="BQ15" s="17">
        <f t="shared" si="22"/>
        <v>0</v>
      </c>
      <c r="BR15" s="17">
        <f t="shared" si="20"/>
        <v>4</v>
      </c>
      <c r="BS15" s="2"/>
      <c r="BT15" s="2"/>
      <c r="BU15" s="2"/>
      <c r="BV15" s="2"/>
    </row>
    <row r="16" spans="1:74" ht="42.75" customHeight="1" x14ac:dyDescent="0.25">
      <c r="A16" s="2"/>
      <c r="B16" s="32"/>
      <c r="C16" s="32"/>
      <c r="D16" s="14" t="s">
        <v>141</v>
      </c>
      <c r="E16" s="14" t="s">
        <v>49</v>
      </c>
      <c r="F16" s="14" t="s">
        <v>44</v>
      </c>
      <c r="G16" s="14" t="s">
        <v>142</v>
      </c>
      <c r="H16" s="14">
        <v>2</v>
      </c>
      <c r="I16" s="14"/>
      <c r="J16" s="14">
        <f t="shared" si="21"/>
        <v>2</v>
      </c>
      <c r="K16" s="15"/>
      <c r="L16" s="14"/>
      <c r="M16" s="14">
        <f t="shared" si="0"/>
        <v>2</v>
      </c>
      <c r="N16" s="15"/>
      <c r="O16" s="14"/>
      <c r="P16" s="14">
        <f t="shared" si="1"/>
        <v>2</v>
      </c>
      <c r="Q16" s="15"/>
      <c r="R16" s="14"/>
      <c r="S16" s="14">
        <f t="shared" si="2"/>
        <v>2</v>
      </c>
      <c r="T16" s="15"/>
      <c r="U16" s="14"/>
      <c r="V16" s="14">
        <f t="shared" si="3"/>
        <v>2</v>
      </c>
      <c r="W16" s="15"/>
      <c r="X16" s="14"/>
      <c r="Y16" s="14">
        <f t="shared" si="4"/>
        <v>2</v>
      </c>
      <c r="Z16" s="15"/>
      <c r="AA16" s="14"/>
      <c r="AB16" s="14">
        <f t="shared" si="5"/>
        <v>2</v>
      </c>
      <c r="AC16" s="15"/>
      <c r="AD16" s="14"/>
      <c r="AE16" s="14">
        <f t="shared" si="6"/>
        <v>2</v>
      </c>
      <c r="AF16" s="15"/>
      <c r="AG16" s="14"/>
      <c r="AH16" s="14">
        <f t="shared" si="7"/>
        <v>2</v>
      </c>
      <c r="AI16" s="15"/>
      <c r="AJ16" s="14"/>
      <c r="AK16" s="14">
        <f t="shared" si="8"/>
        <v>2</v>
      </c>
      <c r="AL16" s="15"/>
      <c r="AM16" s="14"/>
      <c r="AN16" s="14">
        <f t="shared" si="9"/>
        <v>2</v>
      </c>
      <c r="AO16" s="15"/>
      <c r="AP16" s="14"/>
      <c r="AQ16" s="14">
        <f t="shared" si="10"/>
        <v>2</v>
      </c>
      <c r="AR16" s="15"/>
      <c r="AS16" s="14"/>
      <c r="AT16" s="14">
        <f t="shared" si="11"/>
        <v>2</v>
      </c>
      <c r="AU16" s="15"/>
      <c r="AV16" s="14"/>
      <c r="AW16" s="14">
        <f t="shared" si="12"/>
        <v>2</v>
      </c>
      <c r="AX16" s="15"/>
      <c r="AY16" s="14"/>
      <c r="AZ16" s="14">
        <f t="shared" si="13"/>
        <v>2</v>
      </c>
      <c r="BA16" s="15"/>
      <c r="BB16" s="14"/>
      <c r="BC16" s="14">
        <f t="shared" si="14"/>
        <v>2</v>
      </c>
      <c r="BD16" s="15"/>
      <c r="BE16" s="14"/>
      <c r="BF16" s="14">
        <f t="shared" si="15"/>
        <v>2</v>
      </c>
      <c r="BG16" s="15"/>
      <c r="BH16" s="14"/>
      <c r="BI16" s="14">
        <f t="shared" si="16"/>
        <v>2</v>
      </c>
      <c r="BJ16" s="15"/>
      <c r="BK16" s="14"/>
      <c r="BL16" s="14">
        <f t="shared" si="17"/>
        <v>2</v>
      </c>
      <c r="BM16" s="15"/>
      <c r="BN16" s="14"/>
      <c r="BO16" s="14">
        <f t="shared" si="18"/>
        <v>2</v>
      </c>
      <c r="BP16" s="15"/>
      <c r="BQ16" s="17">
        <f t="shared" si="22"/>
        <v>0</v>
      </c>
      <c r="BR16" s="17">
        <f t="shared" si="20"/>
        <v>2</v>
      </c>
      <c r="BS16" s="2"/>
      <c r="BT16" s="2"/>
      <c r="BU16" s="2"/>
      <c r="BV16" s="2"/>
    </row>
    <row r="17" spans="1:74" ht="42.75" customHeight="1" x14ac:dyDescent="0.25">
      <c r="A17" s="2"/>
      <c r="B17" s="38" t="s">
        <v>143</v>
      </c>
      <c r="C17" s="40" t="s">
        <v>144</v>
      </c>
      <c r="D17" s="14" t="s">
        <v>145</v>
      </c>
      <c r="E17" s="14" t="s">
        <v>43</v>
      </c>
      <c r="F17" s="14" t="s">
        <v>50</v>
      </c>
      <c r="G17" s="14" t="s">
        <v>146</v>
      </c>
      <c r="H17" s="14">
        <v>1</v>
      </c>
      <c r="I17" s="14">
        <v>1</v>
      </c>
      <c r="J17" s="14">
        <f t="shared" si="21"/>
        <v>0</v>
      </c>
      <c r="K17" s="15"/>
      <c r="L17" s="14"/>
      <c r="M17" s="14">
        <f t="shared" si="0"/>
        <v>0</v>
      </c>
      <c r="N17" s="15"/>
      <c r="O17" s="14"/>
      <c r="P17" s="14">
        <f t="shared" si="1"/>
        <v>0</v>
      </c>
      <c r="Q17" s="15"/>
      <c r="R17" s="14"/>
      <c r="S17" s="14">
        <f t="shared" si="2"/>
        <v>0</v>
      </c>
      <c r="T17" s="15"/>
      <c r="U17" s="14"/>
      <c r="V17" s="14">
        <f t="shared" si="3"/>
        <v>0</v>
      </c>
      <c r="W17" s="15"/>
      <c r="X17" s="14"/>
      <c r="Y17" s="14">
        <f t="shared" si="4"/>
        <v>0</v>
      </c>
      <c r="Z17" s="15"/>
      <c r="AA17" s="14"/>
      <c r="AB17" s="14">
        <f t="shared" si="5"/>
        <v>0</v>
      </c>
      <c r="AC17" s="15"/>
      <c r="AD17" s="14"/>
      <c r="AE17" s="14">
        <f t="shared" si="6"/>
        <v>0</v>
      </c>
      <c r="AF17" s="15"/>
      <c r="AG17" s="14"/>
      <c r="AH17" s="14">
        <f t="shared" si="7"/>
        <v>0</v>
      </c>
      <c r="AI17" s="15"/>
      <c r="AJ17" s="14"/>
      <c r="AK17" s="14">
        <f t="shared" si="8"/>
        <v>0</v>
      </c>
      <c r="AL17" s="15"/>
      <c r="AM17" s="14"/>
      <c r="AN17" s="14">
        <f t="shared" si="9"/>
        <v>0</v>
      </c>
      <c r="AO17" s="15"/>
      <c r="AP17" s="14"/>
      <c r="AQ17" s="14">
        <f t="shared" si="10"/>
        <v>0</v>
      </c>
      <c r="AR17" s="15"/>
      <c r="AS17" s="14"/>
      <c r="AT17" s="14">
        <f t="shared" si="11"/>
        <v>0</v>
      </c>
      <c r="AU17" s="15"/>
      <c r="AV17" s="14"/>
      <c r="AW17" s="14">
        <f t="shared" si="12"/>
        <v>0</v>
      </c>
      <c r="AX17" s="15"/>
      <c r="AY17" s="14"/>
      <c r="AZ17" s="14"/>
      <c r="BA17" s="15"/>
      <c r="BB17" s="14"/>
      <c r="BC17" s="14">
        <f t="shared" si="14"/>
        <v>0</v>
      </c>
      <c r="BD17" s="15"/>
      <c r="BE17" s="14"/>
      <c r="BF17" s="14"/>
      <c r="BG17" s="15"/>
      <c r="BH17" s="14"/>
      <c r="BI17" s="14">
        <f t="shared" si="16"/>
        <v>0</v>
      </c>
      <c r="BJ17" s="15"/>
      <c r="BK17" s="14"/>
      <c r="BL17" s="14">
        <f t="shared" si="17"/>
        <v>0</v>
      </c>
      <c r="BM17" s="15"/>
      <c r="BN17" s="14"/>
      <c r="BO17" s="14">
        <f t="shared" si="18"/>
        <v>0</v>
      </c>
      <c r="BP17" s="15"/>
      <c r="BQ17" s="17">
        <f t="shared" si="22"/>
        <v>1</v>
      </c>
      <c r="BR17" s="17">
        <f t="shared" si="20"/>
        <v>0</v>
      </c>
      <c r="BS17" s="2"/>
      <c r="BT17" s="2"/>
      <c r="BU17" s="2"/>
      <c r="BV17" s="2"/>
    </row>
    <row r="18" spans="1:74" ht="42.75" customHeight="1" x14ac:dyDescent="0.25">
      <c r="A18" s="2"/>
      <c r="B18" s="31"/>
      <c r="C18" s="31"/>
      <c r="D18" s="14" t="s">
        <v>149</v>
      </c>
      <c r="E18" s="14" t="s">
        <v>49</v>
      </c>
      <c r="F18" s="14" t="s">
        <v>50</v>
      </c>
      <c r="G18" s="14" t="s">
        <v>150</v>
      </c>
      <c r="H18" s="14">
        <v>2</v>
      </c>
      <c r="I18" s="14"/>
      <c r="J18" s="14">
        <f t="shared" si="21"/>
        <v>2</v>
      </c>
      <c r="K18" s="15"/>
      <c r="L18" s="14">
        <v>2</v>
      </c>
      <c r="M18" s="14">
        <f t="shared" si="0"/>
        <v>0</v>
      </c>
      <c r="N18" s="15"/>
      <c r="O18" s="14"/>
      <c r="P18" s="14">
        <f t="shared" si="1"/>
        <v>0</v>
      </c>
      <c r="Q18" s="15"/>
      <c r="R18" s="14"/>
      <c r="S18" s="14">
        <f t="shared" si="2"/>
        <v>0</v>
      </c>
      <c r="T18" s="15"/>
      <c r="U18" s="14"/>
      <c r="V18" s="14">
        <f t="shared" si="3"/>
        <v>0</v>
      </c>
      <c r="W18" s="15"/>
      <c r="X18" s="14"/>
      <c r="Y18" s="14">
        <f t="shared" si="4"/>
        <v>0</v>
      </c>
      <c r="Z18" s="15"/>
      <c r="AA18" s="14"/>
      <c r="AB18" s="14">
        <f t="shared" si="5"/>
        <v>0</v>
      </c>
      <c r="AC18" s="15"/>
      <c r="AD18" s="14"/>
      <c r="AE18" s="14">
        <f t="shared" si="6"/>
        <v>0</v>
      </c>
      <c r="AF18" s="15"/>
      <c r="AG18" s="14"/>
      <c r="AH18" s="14">
        <f t="shared" si="7"/>
        <v>0</v>
      </c>
      <c r="AI18" s="15"/>
      <c r="AJ18" s="14"/>
      <c r="AK18" s="14">
        <f t="shared" si="8"/>
        <v>0</v>
      </c>
      <c r="AL18" s="15"/>
      <c r="AM18" s="14"/>
      <c r="AN18" s="14">
        <f t="shared" si="9"/>
        <v>0</v>
      </c>
      <c r="AO18" s="15"/>
      <c r="AP18" s="14"/>
      <c r="AQ18" s="14">
        <f t="shared" si="10"/>
        <v>0</v>
      </c>
      <c r="AR18" s="15"/>
      <c r="AS18" s="14"/>
      <c r="AT18" s="14">
        <f t="shared" si="11"/>
        <v>0</v>
      </c>
      <c r="AU18" s="15"/>
      <c r="AV18" s="14"/>
      <c r="AW18" s="14">
        <f t="shared" si="12"/>
        <v>0</v>
      </c>
      <c r="AX18" s="15"/>
      <c r="AY18" s="14"/>
      <c r="AZ18" s="14"/>
      <c r="BA18" s="15"/>
      <c r="BB18" s="14"/>
      <c r="BC18" s="14">
        <f t="shared" si="14"/>
        <v>0</v>
      </c>
      <c r="BD18" s="15"/>
      <c r="BE18" s="14"/>
      <c r="BF18" s="14"/>
      <c r="BG18" s="15"/>
      <c r="BH18" s="14"/>
      <c r="BI18" s="14">
        <f t="shared" si="16"/>
        <v>0</v>
      </c>
      <c r="BJ18" s="15"/>
      <c r="BK18" s="14"/>
      <c r="BL18" s="14">
        <f t="shared" si="17"/>
        <v>0</v>
      </c>
      <c r="BM18" s="15"/>
      <c r="BN18" s="14"/>
      <c r="BO18" s="14">
        <f t="shared" si="18"/>
        <v>0</v>
      </c>
      <c r="BP18" s="15"/>
      <c r="BQ18" s="17">
        <f t="shared" si="22"/>
        <v>2</v>
      </c>
      <c r="BR18" s="17">
        <f t="shared" si="20"/>
        <v>0</v>
      </c>
      <c r="BS18" s="2"/>
      <c r="BT18" s="2"/>
      <c r="BU18" s="2"/>
      <c r="BV18" s="2"/>
    </row>
    <row r="19" spans="1:74" ht="42.75" customHeight="1" x14ac:dyDescent="0.25">
      <c r="A19" s="2"/>
      <c r="B19" s="31"/>
      <c r="C19" s="31"/>
      <c r="D19" s="14" t="s">
        <v>151</v>
      </c>
      <c r="E19" s="14" t="s">
        <v>49</v>
      </c>
      <c r="F19" s="14" t="s">
        <v>50</v>
      </c>
      <c r="G19" s="14" t="s">
        <v>152</v>
      </c>
      <c r="H19" s="14">
        <v>2</v>
      </c>
      <c r="I19" s="14"/>
      <c r="J19" s="14">
        <f t="shared" si="21"/>
        <v>2</v>
      </c>
      <c r="K19" s="15"/>
      <c r="L19" s="14">
        <v>2</v>
      </c>
      <c r="M19" s="14">
        <f t="shared" si="0"/>
        <v>0</v>
      </c>
      <c r="N19" s="15"/>
      <c r="O19" s="14">
        <v>2</v>
      </c>
      <c r="P19" s="14">
        <f t="shared" si="1"/>
        <v>-2</v>
      </c>
      <c r="Q19" s="15"/>
      <c r="R19" s="14"/>
      <c r="S19" s="14">
        <f t="shared" si="2"/>
        <v>-2</v>
      </c>
      <c r="T19" s="15"/>
      <c r="U19" s="14"/>
      <c r="V19" s="14">
        <f t="shared" si="3"/>
        <v>-2</v>
      </c>
      <c r="W19" s="15"/>
      <c r="X19" s="14"/>
      <c r="Y19" s="14">
        <f t="shared" si="4"/>
        <v>-2</v>
      </c>
      <c r="Z19" s="15"/>
      <c r="AA19" s="14"/>
      <c r="AB19" s="14">
        <f t="shared" si="5"/>
        <v>-2</v>
      </c>
      <c r="AC19" s="15"/>
      <c r="AD19" s="14"/>
      <c r="AE19" s="14">
        <f t="shared" si="6"/>
        <v>-2</v>
      </c>
      <c r="AF19" s="15"/>
      <c r="AG19" s="14"/>
      <c r="AH19" s="14">
        <f t="shared" si="7"/>
        <v>-2</v>
      </c>
      <c r="AI19" s="15"/>
      <c r="AJ19" s="14"/>
      <c r="AK19" s="14">
        <f t="shared" si="8"/>
        <v>-2</v>
      </c>
      <c r="AL19" s="15"/>
      <c r="AM19" s="14"/>
      <c r="AN19" s="14">
        <f t="shared" si="9"/>
        <v>-2</v>
      </c>
      <c r="AO19" s="15"/>
      <c r="AP19" s="14"/>
      <c r="AQ19" s="14">
        <f t="shared" si="10"/>
        <v>-2</v>
      </c>
      <c r="AR19" s="15"/>
      <c r="AS19" s="14"/>
      <c r="AT19" s="14">
        <f t="shared" si="11"/>
        <v>-2</v>
      </c>
      <c r="AU19" s="15"/>
      <c r="AV19" s="14"/>
      <c r="AW19" s="14">
        <f t="shared" si="12"/>
        <v>-2</v>
      </c>
      <c r="AX19" s="15"/>
      <c r="AY19" s="14"/>
      <c r="AZ19" s="14"/>
      <c r="BA19" s="15"/>
      <c r="BB19" s="14"/>
      <c r="BC19" s="14">
        <f t="shared" si="14"/>
        <v>0</v>
      </c>
      <c r="BD19" s="15"/>
      <c r="BE19" s="14"/>
      <c r="BF19" s="14"/>
      <c r="BG19" s="15"/>
      <c r="BH19" s="14"/>
      <c r="BI19" s="14">
        <f t="shared" si="16"/>
        <v>0</v>
      </c>
      <c r="BJ19" s="15"/>
      <c r="BK19" s="14"/>
      <c r="BL19" s="14">
        <f t="shared" si="17"/>
        <v>0</v>
      </c>
      <c r="BM19" s="15"/>
      <c r="BN19" s="14"/>
      <c r="BO19" s="14">
        <f t="shared" si="18"/>
        <v>0</v>
      </c>
      <c r="BP19" s="15"/>
      <c r="BQ19" s="17">
        <f t="shared" si="22"/>
        <v>4</v>
      </c>
      <c r="BR19" s="17">
        <f t="shared" si="20"/>
        <v>-2</v>
      </c>
      <c r="BS19" s="2"/>
      <c r="BT19" s="2"/>
      <c r="BU19" s="2"/>
      <c r="BV19" s="2"/>
    </row>
    <row r="20" spans="1:74" ht="42.75" customHeight="1" x14ac:dyDescent="0.25">
      <c r="A20" s="2"/>
      <c r="B20" s="31"/>
      <c r="C20" s="31"/>
      <c r="D20" s="14" t="s">
        <v>155</v>
      </c>
      <c r="E20" s="14" t="s">
        <v>49</v>
      </c>
      <c r="F20" s="14" t="s">
        <v>50</v>
      </c>
      <c r="G20" s="14" t="s">
        <v>156</v>
      </c>
      <c r="H20" s="14">
        <v>2</v>
      </c>
      <c r="I20" s="14">
        <v>2</v>
      </c>
      <c r="J20" s="14">
        <f t="shared" si="21"/>
        <v>0</v>
      </c>
      <c r="K20" s="15"/>
      <c r="L20" s="14"/>
      <c r="M20" s="14">
        <f t="shared" si="0"/>
        <v>0</v>
      </c>
      <c r="N20" s="15"/>
      <c r="O20" s="14"/>
      <c r="P20" s="14">
        <f t="shared" si="1"/>
        <v>0</v>
      </c>
      <c r="Q20" s="15"/>
      <c r="R20" s="14"/>
      <c r="S20" s="14">
        <f t="shared" si="2"/>
        <v>0</v>
      </c>
      <c r="T20" s="15"/>
      <c r="U20" s="14"/>
      <c r="V20" s="14">
        <f t="shared" si="3"/>
        <v>0</v>
      </c>
      <c r="W20" s="15"/>
      <c r="X20" s="14"/>
      <c r="Y20" s="14">
        <f t="shared" si="4"/>
        <v>0</v>
      </c>
      <c r="Z20" s="15"/>
      <c r="AA20" s="14"/>
      <c r="AB20" s="14">
        <f t="shared" si="5"/>
        <v>0</v>
      </c>
      <c r="AC20" s="15"/>
      <c r="AD20" s="14"/>
      <c r="AE20" s="14">
        <f t="shared" si="6"/>
        <v>0</v>
      </c>
      <c r="AF20" s="15"/>
      <c r="AG20" s="14"/>
      <c r="AH20" s="14">
        <f t="shared" si="7"/>
        <v>0</v>
      </c>
      <c r="AI20" s="15"/>
      <c r="AJ20" s="14"/>
      <c r="AK20" s="14">
        <f t="shared" si="8"/>
        <v>0</v>
      </c>
      <c r="AL20" s="15"/>
      <c r="AM20" s="14"/>
      <c r="AN20" s="14">
        <f t="shared" si="9"/>
        <v>0</v>
      </c>
      <c r="AO20" s="15"/>
      <c r="AP20" s="14"/>
      <c r="AQ20" s="14">
        <f t="shared" si="10"/>
        <v>0</v>
      </c>
      <c r="AR20" s="15"/>
      <c r="AS20" s="14"/>
      <c r="AT20" s="14">
        <f t="shared" si="11"/>
        <v>0</v>
      </c>
      <c r="AU20" s="15"/>
      <c r="AV20" s="14"/>
      <c r="AW20" s="14">
        <f t="shared" si="12"/>
        <v>0</v>
      </c>
      <c r="AX20" s="15"/>
      <c r="AY20" s="14"/>
      <c r="AZ20" s="14"/>
      <c r="BA20" s="15"/>
      <c r="BB20" s="14"/>
      <c r="BC20" s="14">
        <f t="shared" si="14"/>
        <v>0</v>
      </c>
      <c r="BD20" s="15"/>
      <c r="BE20" s="14"/>
      <c r="BF20" s="14"/>
      <c r="BG20" s="15"/>
      <c r="BH20" s="14"/>
      <c r="BI20" s="14">
        <f t="shared" si="16"/>
        <v>0</v>
      </c>
      <c r="BJ20" s="15"/>
      <c r="BK20" s="14"/>
      <c r="BL20" s="14">
        <f t="shared" si="17"/>
        <v>0</v>
      </c>
      <c r="BM20" s="15"/>
      <c r="BN20" s="14"/>
      <c r="BO20" s="14">
        <f t="shared" si="18"/>
        <v>0</v>
      </c>
      <c r="BP20" s="15"/>
      <c r="BQ20" s="17">
        <f t="shared" si="22"/>
        <v>2</v>
      </c>
      <c r="BR20" s="17">
        <f t="shared" si="20"/>
        <v>0</v>
      </c>
      <c r="BS20" s="2"/>
      <c r="BT20" s="2"/>
      <c r="BU20" s="2"/>
      <c r="BV20" s="2"/>
    </row>
    <row r="21" spans="1:74" ht="42.75" customHeight="1" x14ac:dyDescent="0.25">
      <c r="A21" s="2"/>
      <c r="B21" s="31"/>
      <c r="C21" s="31"/>
      <c r="D21" s="14" t="s">
        <v>157</v>
      </c>
      <c r="E21" s="14" t="s">
        <v>43</v>
      </c>
      <c r="F21" s="14" t="s">
        <v>50</v>
      </c>
      <c r="G21" s="14" t="s">
        <v>158</v>
      </c>
      <c r="H21" s="14">
        <v>2</v>
      </c>
      <c r="I21" s="14"/>
      <c r="J21" s="14">
        <f t="shared" si="21"/>
        <v>2</v>
      </c>
      <c r="K21" s="15"/>
      <c r="L21" s="14">
        <v>2</v>
      </c>
      <c r="M21" s="14">
        <f t="shared" si="0"/>
        <v>0</v>
      </c>
      <c r="N21" s="15"/>
      <c r="O21" s="14">
        <v>2</v>
      </c>
      <c r="P21" s="14">
        <f t="shared" si="1"/>
        <v>-2</v>
      </c>
      <c r="Q21" s="15"/>
      <c r="R21" s="14"/>
      <c r="S21" s="14">
        <f t="shared" si="2"/>
        <v>-2</v>
      </c>
      <c r="T21" s="15"/>
      <c r="U21" s="14"/>
      <c r="V21" s="14">
        <f t="shared" si="3"/>
        <v>-2</v>
      </c>
      <c r="W21" s="15"/>
      <c r="X21" s="14"/>
      <c r="Y21" s="14">
        <f t="shared" si="4"/>
        <v>-2</v>
      </c>
      <c r="Z21" s="15"/>
      <c r="AA21" s="14"/>
      <c r="AB21" s="14">
        <f t="shared" si="5"/>
        <v>-2</v>
      </c>
      <c r="AC21" s="15"/>
      <c r="AD21" s="14"/>
      <c r="AE21" s="14">
        <f t="shared" si="6"/>
        <v>-2</v>
      </c>
      <c r="AF21" s="15"/>
      <c r="AG21" s="14"/>
      <c r="AH21" s="14">
        <f t="shared" si="7"/>
        <v>-2</v>
      </c>
      <c r="AI21" s="15"/>
      <c r="AJ21" s="14"/>
      <c r="AK21" s="14">
        <f t="shared" si="8"/>
        <v>-2</v>
      </c>
      <c r="AL21" s="15"/>
      <c r="AM21" s="14"/>
      <c r="AN21" s="14">
        <f t="shared" si="9"/>
        <v>-2</v>
      </c>
      <c r="AO21" s="15"/>
      <c r="AP21" s="14"/>
      <c r="AQ21" s="14">
        <f t="shared" si="10"/>
        <v>-2</v>
      </c>
      <c r="AR21" s="15"/>
      <c r="AS21" s="14"/>
      <c r="AT21" s="14">
        <f t="shared" si="11"/>
        <v>-2</v>
      </c>
      <c r="AU21" s="15"/>
      <c r="AV21" s="14"/>
      <c r="AW21" s="14">
        <f t="shared" si="12"/>
        <v>-2</v>
      </c>
      <c r="AX21" s="15"/>
      <c r="AY21" s="14"/>
      <c r="AZ21" s="14"/>
      <c r="BA21" s="15"/>
      <c r="BB21" s="14"/>
      <c r="BC21" s="14">
        <f t="shared" si="14"/>
        <v>0</v>
      </c>
      <c r="BD21" s="15"/>
      <c r="BE21" s="14"/>
      <c r="BF21" s="14"/>
      <c r="BG21" s="15"/>
      <c r="BH21" s="14"/>
      <c r="BI21" s="14">
        <f t="shared" si="16"/>
        <v>0</v>
      </c>
      <c r="BJ21" s="15"/>
      <c r="BK21" s="14"/>
      <c r="BL21" s="14">
        <f t="shared" si="17"/>
        <v>0</v>
      </c>
      <c r="BM21" s="15"/>
      <c r="BN21" s="14"/>
      <c r="BO21" s="14">
        <f t="shared" si="18"/>
        <v>0</v>
      </c>
      <c r="BP21" s="15"/>
      <c r="BQ21" s="17">
        <f t="shared" si="22"/>
        <v>4</v>
      </c>
      <c r="BR21" s="17">
        <f t="shared" si="20"/>
        <v>-2</v>
      </c>
      <c r="BS21" s="2"/>
      <c r="BT21" s="2"/>
      <c r="BU21" s="2"/>
      <c r="BV21" s="2"/>
    </row>
    <row r="22" spans="1:74" ht="42.75" customHeight="1" x14ac:dyDescent="0.25">
      <c r="A22" s="2"/>
      <c r="B22" s="31"/>
      <c r="C22" s="31"/>
      <c r="D22" s="14" t="s">
        <v>161</v>
      </c>
      <c r="E22" s="14" t="s">
        <v>49</v>
      </c>
      <c r="F22" s="14" t="s">
        <v>50</v>
      </c>
      <c r="G22" s="14" t="s">
        <v>162</v>
      </c>
      <c r="H22" s="14">
        <v>1</v>
      </c>
      <c r="I22" s="14"/>
      <c r="J22" s="14">
        <f t="shared" si="21"/>
        <v>1</v>
      </c>
      <c r="K22" s="15"/>
      <c r="L22" s="14">
        <v>2</v>
      </c>
      <c r="M22" s="14">
        <f t="shared" si="0"/>
        <v>-1</v>
      </c>
      <c r="N22" s="15"/>
      <c r="O22" s="14"/>
      <c r="P22" s="14">
        <f t="shared" si="1"/>
        <v>-1</v>
      </c>
      <c r="Q22" s="15"/>
      <c r="R22" s="14"/>
      <c r="S22" s="14">
        <f t="shared" si="2"/>
        <v>-1</v>
      </c>
      <c r="T22" s="15"/>
      <c r="U22" s="14"/>
      <c r="V22" s="14">
        <f t="shared" si="3"/>
        <v>-1</v>
      </c>
      <c r="W22" s="15"/>
      <c r="X22" s="14"/>
      <c r="Y22" s="14">
        <f t="shared" si="4"/>
        <v>-1</v>
      </c>
      <c r="Z22" s="15"/>
      <c r="AA22" s="14"/>
      <c r="AB22" s="14">
        <f t="shared" si="5"/>
        <v>-1</v>
      </c>
      <c r="AC22" s="15"/>
      <c r="AD22" s="14"/>
      <c r="AE22" s="14">
        <f t="shared" si="6"/>
        <v>-1</v>
      </c>
      <c r="AF22" s="15"/>
      <c r="AG22" s="14"/>
      <c r="AH22" s="14">
        <f t="shared" si="7"/>
        <v>-1</v>
      </c>
      <c r="AI22" s="15"/>
      <c r="AJ22" s="14"/>
      <c r="AK22" s="14">
        <f t="shared" si="8"/>
        <v>-1</v>
      </c>
      <c r="AL22" s="15"/>
      <c r="AM22" s="14"/>
      <c r="AN22" s="14">
        <f t="shared" si="9"/>
        <v>-1</v>
      </c>
      <c r="AO22" s="15"/>
      <c r="AP22" s="14"/>
      <c r="AQ22" s="14">
        <f t="shared" si="10"/>
        <v>-1</v>
      </c>
      <c r="AR22" s="15"/>
      <c r="AS22" s="14"/>
      <c r="AT22" s="14">
        <f t="shared" si="11"/>
        <v>-1</v>
      </c>
      <c r="AU22" s="15"/>
      <c r="AV22" s="14"/>
      <c r="AW22" s="14">
        <f t="shared" si="12"/>
        <v>-1</v>
      </c>
      <c r="AX22" s="15"/>
      <c r="AY22" s="14"/>
      <c r="AZ22" s="14"/>
      <c r="BA22" s="15"/>
      <c r="BB22" s="14"/>
      <c r="BC22" s="14">
        <f t="shared" si="14"/>
        <v>0</v>
      </c>
      <c r="BD22" s="15"/>
      <c r="BE22" s="14"/>
      <c r="BF22" s="14"/>
      <c r="BG22" s="15"/>
      <c r="BH22" s="14"/>
      <c r="BI22" s="14">
        <f t="shared" si="16"/>
        <v>0</v>
      </c>
      <c r="BJ22" s="15"/>
      <c r="BK22" s="14"/>
      <c r="BL22" s="14">
        <f t="shared" si="17"/>
        <v>0</v>
      </c>
      <c r="BM22" s="15"/>
      <c r="BN22" s="14"/>
      <c r="BO22" s="14">
        <f t="shared" si="18"/>
        <v>0</v>
      </c>
      <c r="BP22" s="15"/>
      <c r="BQ22" s="17">
        <f t="shared" si="22"/>
        <v>2</v>
      </c>
      <c r="BR22" s="17">
        <f t="shared" si="20"/>
        <v>-1</v>
      </c>
      <c r="BS22" s="2"/>
      <c r="BT22" s="2"/>
      <c r="BU22" s="2"/>
      <c r="BV22" s="2"/>
    </row>
    <row r="23" spans="1:74" ht="42.75" customHeight="1" x14ac:dyDescent="0.25">
      <c r="A23" s="2"/>
      <c r="B23" s="32"/>
      <c r="C23" s="32"/>
      <c r="D23" s="14" t="s">
        <v>165</v>
      </c>
      <c r="E23" s="14" t="s">
        <v>43</v>
      </c>
      <c r="F23" s="14" t="s">
        <v>50</v>
      </c>
      <c r="G23" s="14" t="s">
        <v>166</v>
      </c>
      <c r="H23" s="14">
        <v>2</v>
      </c>
      <c r="I23" s="14"/>
      <c r="J23" s="14">
        <f t="shared" si="21"/>
        <v>2</v>
      </c>
      <c r="K23" s="15"/>
      <c r="L23" s="14"/>
      <c r="M23" s="14">
        <f t="shared" si="0"/>
        <v>2</v>
      </c>
      <c r="N23" s="15"/>
      <c r="O23" s="14">
        <v>2</v>
      </c>
      <c r="P23" s="14">
        <f t="shared" si="1"/>
        <v>0</v>
      </c>
      <c r="Q23" s="15"/>
      <c r="R23" s="14"/>
      <c r="S23" s="14">
        <f t="shared" si="2"/>
        <v>0</v>
      </c>
      <c r="T23" s="15"/>
      <c r="U23" s="14"/>
      <c r="V23" s="14">
        <f t="shared" si="3"/>
        <v>0</v>
      </c>
      <c r="W23" s="15"/>
      <c r="X23" s="14"/>
      <c r="Y23" s="14">
        <f t="shared" si="4"/>
        <v>0</v>
      </c>
      <c r="Z23" s="15"/>
      <c r="AA23" s="14"/>
      <c r="AB23" s="14">
        <f t="shared" si="5"/>
        <v>0</v>
      </c>
      <c r="AC23" s="15"/>
      <c r="AD23" s="14"/>
      <c r="AE23" s="14">
        <f t="shared" si="6"/>
        <v>0</v>
      </c>
      <c r="AF23" s="15"/>
      <c r="AG23" s="14"/>
      <c r="AH23" s="14">
        <f t="shared" si="7"/>
        <v>0</v>
      </c>
      <c r="AI23" s="15"/>
      <c r="AJ23" s="14"/>
      <c r="AK23" s="14">
        <f t="shared" si="8"/>
        <v>0</v>
      </c>
      <c r="AL23" s="15"/>
      <c r="AM23" s="14"/>
      <c r="AN23" s="14">
        <f t="shared" si="9"/>
        <v>0</v>
      </c>
      <c r="AO23" s="15"/>
      <c r="AP23" s="14"/>
      <c r="AQ23" s="14">
        <f t="shared" si="10"/>
        <v>0</v>
      </c>
      <c r="AR23" s="15"/>
      <c r="AS23" s="14"/>
      <c r="AT23" s="14">
        <f t="shared" si="11"/>
        <v>0</v>
      </c>
      <c r="AU23" s="15"/>
      <c r="AV23" s="14"/>
      <c r="AW23" s="14">
        <f t="shared" si="12"/>
        <v>0</v>
      </c>
      <c r="AX23" s="15"/>
      <c r="AY23" s="14"/>
      <c r="AZ23" s="14"/>
      <c r="BA23" s="15"/>
      <c r="BB23" s="14"/>
      <c r="BC23" s="14">
        <f t="shared" si="14"/>
        <v>0</v>
      </c>
      <c r="BD23" s="15"/>
      <c r="BE23" s="14"/>
      <c r="BF23" s="14"/>
      <c r="BG23" s="15"/>
      <c r="BH23" s="14"/>
      <c r="BI23" s="14">
        <f t="shared" si="16"/>
        <v>0</v>
      </c>
      <c r="BJ23" s="15"/>
      <c r="BK23" s="14"/>
      <c r="BL23" s="14">
        <f t="shared" si="17"/>
        <v>0</v>
      </c>
      <c r="BM23" s="15"/>
      <c r="BN23" s="14"/>
      <c r="BO23" s="14">
        <f t="shared" si="18"/>
        <v>0</v>
      </c>
      <c r="BP23" s="15"/>
      <c r="BQ23" s="17">
        <f t="shared" si="22"/>
        <v>2</v>
      </c>
      <c r="BR23" s="17">
        <f t="shared" si="20"/>
        <v>0</v>
      </c>
      <c r="BS23" s="2"/>
      <c r="BT23" s="2"/>
      <c r="BU23" s="2"/>
      <c r="BV23" s="2"/>
    </row>
    <row r="24" spans="1:74" ht="42.75" customHeight="1" x14ac:dyDescent="0.25">
      <c r="A24" s="2"/>
      <c r="B24" s="38" t="s">
        <v>167</v>
      </c>
      <c r="C24" s="40" t="s">
        <v>168</v>
      </c>
      <c r="D24" s="14" t="s">
        <v>169</v>
      </c>
      <c r="E24" s="14" t="s">
        <v>49</v>
      </c>
      <c r="F24" s="14" t="s">
        <v>50</v>
      </c>
      <c r="G24" s="14" t="s">
        <v>170</v>
      </c>
      <c r="H24" s="14">
        <v>1</v>
      </c>
      <c r="I24" s="14"/>
      <c r="J24" s="14">
        <f t="shared" si="21"/>
        <v>1</v>
      </c>
      <c r="K24" s="15"/>
      <c r="L24" s="14"/>
      <c r="M24" s="14">
        <f t="shared" si="0"/>
        <v>1</v>
      </c>
      <c r="N24" s="15"/>
      <c r="O24" s="14">
        <v>1</v>
      </c>
      <c r="P24" s="14">
        <f t="shared" si="1"/>
        <v>0</v>
      </c>
      <c r="Q24" s="15"/>
      <c r="R24" s="14"/>
      <c r="S24" s="14">
        <f t="shared" si="2"/>
        <v>0</v>
      </c>
      <c r="T24" s="15"/>
      <c r="U24" s="14"/>
      <c r="V24" s="14">
        <f t="shared" si="3"/>
        <v>0</v>
      </c>
      <c r="W24" s="15"/>
      <c r="X24" s="14"/>
      <c r="Y24" s="14">
        <f t="shared" si="4"/>
        <v>0</v>
      </c>
      <c r="Z24" s="15"/>
      <c r="AA24" s="14"/>
      <c r="AB24" s="14">
        <f t="shared" si="5"/>
        <v>0</v>
      </c>
      <c r="AC24" s="15"/>
      <c r="AD24" s="14"/>
      <c r="AE24" s="14">
        <f t="shared" si="6"/>
        <v>0</v>
      </c>
      <c r="AF24" s="15"/>
      <c r="AG24" s="14"/>
      <c r="AH24" s="14">
        <f t="shared" si="7"/>
        <v>0</v>
      </c>
      <c r="AI24" s="15"/>
      <c r="AJ24" s="14"/>
      <c r="AK24" s="14">
        <f t="shared" si="8"/>
        <v>0</v>
      </c>
      <c r="AL24" s="15"/>
      <c r="AM24" s="14"/>
      <c r="AN24" s="14">
        <f t="shared" si="9"/>
        <v>0</v>
      </c>
      <c r="AO24" s="15"/>
      <c r="AP24" s="14"/>
      <c r="AQ24" s="14">
        <f t="shared" si="10"/>
        <v>0</v>
      </c>
      <c r="AR24" s="15"/>
      <c r="AS24" s="14"/>
      <c r="AT24" s="14">
        <f t="shared" si="11"/>
        <v>0</v>
      </c>
      <c r="AU24" s="15"/>
      <c r="AV24" s="14"/>
      <c r="AW24" s="14">
        <f t="shared" si="12"/>
        <v>0</v>
      </c>
      <c r="AX24" s="15"/>
      <c r="AY24" s="14"/>
      <c r="AZ24" s="14"/>
      <c r="BA24" s="15"/>
      <c r="BB24" s="14"/>
      <c r="BC24" s="14">
        <f t="shared" si="14"/>
        <v>0</v>
      </c>
      <c r="BD24" s="15"/>
      <c r="BE24" s="14"/>
      <c r="BF24" s="14"/>
      <c r="BG24" s="15"/>
      <c r="BH24" s="14"/>
      <c r="BI24" s="14">
        <f t="shared" si="16"/>
        <v>0</v>
      </c>
      <c r="BJ24" s="15"/>
      <c r="BK24" s="14"/>
      <c r="BL24" s="14">
        <f t="shared" si="17"/>
        <v>0</v>
      </c>
      <c r="BM24" s="15"/>
      <c r="BN24" s="14"/>
      <c r="BO24" s="14">
        <f t="shared" si="18"/>
        <v>0</v>
      </c>
      <c r="BP24" s="15"/>
      <c r="BQ24" s="17">
        <f t="shared" si="22"/>
        <v>1</v>
      </c>
      <c r="BR24" s="17">
        <f t="shared" si="20"/>
        <v>0</v>
      </c>
      <c r="BS24" s="2"/>
      <c r="BT24" s="2"/>
      <c r="BU24" s="2"/>
      <c r="BV24" s="2"/>
    </row>
    <row r="25" spans="1:74" ht="42.75" customHeight="1" x14ac:dyDescent="0.25">
      <c r="A25" s="2"/>
      <c r="B25" s="31"/>
      <c r="C25" s="31"/>
      <c r="D25" s="14" t="s">
        <v>173</v>
      </c>
      <c r="E25" s="14" t="s">
        <v>43</v>
      </c>
      <c r="F25" s="14" t="s">
        <v>50</v>
      </c>
      <c r="G25" s="14" t="s">
        <v>174</v>
      </c>
      <c r="H25" s="14">
        <v>2</v>
      </c>
      <c r="I25" s="14"/>
      <c r="J25" s="14">
        <f t="shared" si="21"/>
        <v>2</v>
      </c>
      <c r="K25" s="15"/>
      <c r="L25" s="14"/>
      <c r="M25" s="14">
        <f t="shared" si="0"/>
        <v>2</v>
      </c>
      <c r="N25" s="15"/>
      <c r="O25" s="14">
        <v>2</v>
      </c>
      <c r="P25" s="14">
        <f t="shared" si="1"/>
        <v>0</v>
      </c>
      <c r="Q25" s="15"/>
      <c r="R25" s="14"/>
      <c r="S25" s="14">
        <f t="shared" si="2"/>
        <v>0</v>
      </c>
      <c r="T25" s="15"/>
      <c r="U25" s="14"/>
      <c r="V25" s="14">
        <f t="shared" si="3"/>
        <v>0</v>
      </c>
      <c r="W25" s="15"/>
      <c r="X25" s="14"/>
      <c r="Y25" s="14">
        <f t="shared" si="4"/>
        <v>0</v>
      </c>
      <c r="Z25" s="15"/>
      <c r="AA25" s="14"/>
      <c r="AB25" s="14">
        <f t="shared" si="5"/>
        <v>0</v>
      </c>
      <c r="AC25" s="15"/>
      <c r="AD25" s="14"/>
      <c r="AE25" s="14">
        <f t="shared" si="6"/>
        <v>0</v>
      </c>
      <c r="AF25" s="15"/>
      <c r="AG25" s="14"/>
      <c r="AH25" s="14">
        <f t="shared" si="7"/>
        <v>0</v>
      </c>
      <c r="AI25" s="15"/>
      <c r="AJ25" s="14"/>
      <c r="AK25" s="14">
        <f t="shared" si="8"/>
        <v>0</v>
      </c>
      <c r="AL25" s="15"/>
      <c r="AM25" s="14"/>
      <c r="AN25" s="14">
        <f t="shared" si="9"/>
        <v>0</v>
      </c>
      <c r="AO25" s="15"/>
      <c r="AP25" s="14"/>
      <c r="AQ25" s="14">
        <f t="shared" si="10"/>
        <v>0</v>
      </c>
      <c r="AR25" s="15"/>
      <c r="AS25" s="14"/>
      <c r="AT25" s="14">
        <f t="shared" si="11"/>
        <v>0</v>
      </c>
      <c r="AU25" s="15"/>
      <c r="AV25" s="14"/>
      <c r="AW25" s="14">
        <f t="shared" si="12"/>
        <v>0</v>
      </c>
      <c r="AX25" s="15"/>
      <c r="AY25" s="14"/>
      <c r="AZ25" s="14"/>
      <c r="BA25" s="15"/>
      <c r="BB25" s="14"/>
      <c r="BC25" s="14">
        <f t="shared" si="14"/>
        <v>0</v>
      </c>
      <c r="BD25" s="15"/>
      <c r="BE25" s="14"/>
      <c r="BF25" s="14"/>
      <c r="BG25" s="15"/>
      <c r="BH25" s="14"/>
      <c r="BI25" s="14">
        <f t="shared" si="16"/>
        <v>0</v>
      </c>
      <c r="BJ25" s="15"/>
      <c r="BK25" s="14"/>
      <c r="BL25" s="14">
        <f t="shared" si="17"/>
        <v>0</v>
      </c>
      <c r="BM25" s="15"/>
      <c r="BN25" s="14"/>
      <c r="BO25" s="14">
        <f t="shared" si="18"/>
        <v>0</v>
      </c>
      <c r="BP25" s="15"/>
      <c r="BQ25" s="17">
        <f t="shared" si="22"/>
        <v>2</v>
      </c>
      <c r="BR25" s="17">
        <f t="shared" si="20"/>
        <v>0</v>
      </c>
      <c r="BS25" s="2"/>
      <c r="BT25" s="2"/>
      <c r="BU25" s="2"/>
      <c r="BV25" s="2"/>
    </row>
    <row r="26" spans="1:74" ht="42.75" customHeight="1" x14ac:dyDescent="0.25">
      <c r="A26" s="2"/>
      <c r="B26" s="39"/>
      <c r="C26" s="31"/>
      <c r="D26" s="14" t="s">
        <v>175</v>
      </c>
      <c r="E26" s="14" t="s">
        <v>43</v>
      </c>
      <c r="F26" s="14" t="s">
        <v>50</v>
      </c>
      <c r="G26" s="14" t="s">
        <v>176</v>
      </c>
      <c r="H26" s="14">
        <v>2</v>
      </c>
      <c r="I26" s="14"/>
      <c r="J26" s="14">
        <f t="shared" si="21"/>
        <v>2</v>
      </c>
      <c r="K26" s="15"/>
      <c r="L26" s="14"/>
      <c r="M26" s="14">
        <f t="shared" si="0"/>
        <v>2</v>
      </c>
      <c r="N26" s="15"/>
      <c r="O26" s="14">
        <v>2</v>
      </c>
      <c r="P26" s="14">
        <f t="shared" si="1"/>
        <v>0</v>
      </c>
      <c r="Q26" s="15"/>
      <c r="R26" s="14"/>
      <c r="S26" s="14">
        <f t="shared" si="2"/>
        <v>0</v>
      </c>
      <c r="T26" s="15"/>
      <c r="U26" s="14"/>
      <c r="V26" s="14">
        <f t="shared" si="3"/>
        <v>0</v>
      </c>
      <c r="W26" s="15"/>
      <c r="X26" s="14"/>
      <c r="Y26" s="14">
        <f t="shared" si="4"/>
        <v>0</v>
      </c>
      <c r="Z26" s="15"/>
      <c r="AA26" s="14"/>
      <c r="AB26" s="14">
        <f t="shared" si="5"/>
        <v>0</v>
      </c>
      <c r="AC26" s="15"/>
      <c r="AD26" s="14"/>
      <c r="AE26" s="14">
        <f t="shared" si="6"/>
        <v>0</v>
      </c>
      <c r="AF26" s="15"/>
      <c r="AG26" s="14"/>
      <c r="AH26" s="14">
        <f t="shared" si="7"/>
        <v>0</v>
      </c>
      <c r="AI26" s="15"/>
      <c r="AJ26" s="14"/>
      <c r="AK26" s="14">
        <f t="shared" si="8"/>
        <v>0</v>
      </c>
      <c r="AL26" s="15"/>
      <c r="AM26" s="14"/>
      <c r="AN26" s="14">
        <f t="shared" si="9"/>
        <v>0</v>
      </c>
      <c r="AO26" s="15"/>
      <c r="AP26" s="14"/>
      <c r="AQ26" s="14">
        <f t="shared" si="10"/>
        <v>0</v>
      </c>
      <c r="AR26" s="15"/>
      <c r="AS26" s="14"/>
      <c r="AT26" s="14">
        <f t="shared" si="11"/>
        <v>0</v>
      </c>
      <c r="AU26" s="15"/>
      <c r="AV26" s="14"/>
      <c r="AW26" s="14">
        <f t="shared" si="12"/>
        <v>0</v>
      </c>
      <c r="AX26" s="15"/>
      <c r="AY26" s="14"/>
      <c r="AZ26" s="14"/>
      <c r="BA26" s="15"/>
      <c r="BB26" s="14"/>
      <c r="BC26" s="14">
        <f t="shared" si="14"/>
        <v>0</v>
      </c>
      <c r="BD26" s="15"/>
      <c r="BE26" s="14"/>
      <c r="BF26" s="14"/>
      <c r="BG26" s="15"/>
      <c r="BH26" s="14"/>
      <c r="BI26" s="14">
        <f t="shared" si="16"/>
        <v>0</v>
      </c>
      <c r="BJ26" s="15"/>
      <c r="BK26" s="14"/>
      <c r="BL26" s="14">
        <f t="shared" si="17"/>
        <v>0</v>
      </c>
      <c r="BM26" s="15"/>
      <c r="BN26" s="14"/>
      <c r="BO26" s="14">
        <f t="shared" si="18"/>
        <v>0</v>
      </c>
      <c r="BP26" s="15"/>
      <c r="BQ26" s="17">
        <f t="shared" si="22"/>
        <v>2</v>
      </c>
      <c r="BR26" s="17">
        <f t="shared" si="20"/>
        <v>0</v>
      </c>
      <c r="BS26" s="2"/>
      <c r="BT26" s="2"/>
      <c r="BU26" s="2"/>
      <c r="BV26" s="2"/>
    </row>
    <row r="27" spans="1:74" ht="42.75" customHeight="1" x14ac:dyDescent="0.25">
      <c r="A27" s="2"/>
      <c r="B27" s="38" t="s">
        <v>178</v>
      </c>
      <c r="C27" s="40" t="s">
        <v>179</v>
      </c>
      <c r="D27" s="14" t="s">
        <v>180</v>
      </c>
      <c r="E27" s="14" t="s">
        <v>49</v>
      </c>
      <c r="F27" s="14" t="s">
        <v>44</v>
      </c>
      <c r="G27" s="14" t="s">
        <v>181</v>
      </c>
      <c r="H27" s="14">
        <v>1</v>
      </c>
      <c r="I27" s="14"/>
      <c r="J27" s="14">
        <f t="shared" si="21"/>
        <v>1</v>
      </c>
      <c r="K27" s="15"/>
      <c r="L27" s="14"/>
      <c r="M27" s="14">
        <f t="shared" si="0"/>
        <v>1</v>
      </c>
      <c r="N27" s="15"/>
      <c r="O27" s="14"/>
      <c r="P27" s="14">
        <f t="shared" si="1"/>
        <v>1</v>
      </c>
      <c r="Q27" s="15"/>
      <c r="R27" s="14"/>
      <c r="S27" s="14">
        <f t="shared" si="2"/>
        <v>1</v>
      </c>
      <c r="T27" s="15"/>
      <c r="U27" s="14"/>
      <c r="V27" s="14">
        <f t="shared" si="3"/>
        <v>1</v>
      </c>
      <c r="W27" s="15"/>
      <c r="X27" s="14"/>
      <c r="Y27" s="14">
        <f t="shared" si="4"/>
        <v>1</v>
      </c>
      <c r="Z27" s="15"/>
      <c r="AA27" s="14"/>
      <c r="AB27" s="14">
        <f t="shared" si="5"/>
        <v>1</v>
      </c>
      <c r="AC27" s="15"/>
      <c r="AD27" s="14"/>
      <c r="AE27" s="14">
        <f t="shared" si="6"/>
        <v>1</v>
      </c>
      <c r="AF27" s="15"/>
      <c r="AG27" s="14"/>
      <c r="AH27" s="14">
        <f t="shared" si="7"/>
        <v>1</v>
      </c>
      <c r="AI27" s="15"/>
      <c r="AJ27" s="14"/>
      <c r="AK27" s="14">
        <f t="shared" si="8"/>
        <v>1</v>
      </c>
      <c r="AL27" s="15"/>
      <c r="AM27" s="14"/>
      <c r="AN27" s="14">
        <f t="shared" si="9"/>
        <v>1</v>
      </c>
      <c r="AO27" s="15"/>
      <c r="AP27" s="14"/>
      <c r="AQ27" s="14">
        <f t="shared" si="10"/>
        <v>1</v>
      </c>
      <c r="AR27" s="15"/>
      <c r="AS27" s="14"/>
      <c r="AT27" s="14">
        <f t="shared" si="11"/>
        <v>1</v>
      </c>
      <c r="AU27" s="15"/>
      <c r="AV27" s="14"/>
      <c r="AW27" s="14">
        <f t="shared" si="12"/>
        <v>1</v>
      </c>
      <c r="AX27" s="15"/>
      <c r="AY27" s="14"/>
      <c r="AZ27" s="14"/>
      <c r="BA27" s="15"/>
      <c r="BB27" s="14"/>
      <c r="BC27" s="14">
        <f t="shared" si="14"/>
        <v>0</v>
      </c>
      <c r="BD27" s="15"/>
      <c r="BE27" s="14"/>
      <c r="BF27" s="14"/>
      <c r="BG27" s="15"/>
      <c r="BH27" s="14"/>
      <c r="BI27" s="14">
        <f t="shared" si="16"/>
        <v>0</v>
      </c>
      <c r="BJ27" s="15"/>
      <c r="BK27" s="14"/>
      <c r="BL27" s="14">
        <f t="shared" si="17"/>
        <v>0</v>
      </c>
      <c r="BM27" s="15"/>
      <c r="BN27" s="14"/>
      <c r="BO27" s="14">
        <f t="shared" si="18"/>
        <v>0</v>
      </c>
      <c r="BP27" s="15"/>
      <c r="BQ27" s="17">
        <f t="shared" si="22"/>
        <v>0</v>
      </c>
      <c r="BR27" s="17">
        <f t="shared" si="20"/>
        <v>1</v>
      </c>
      <c r="BS27" s="2"/>
      <c r="BT27" s="2"/>
      <c r="BU27" s="2"/>
      <c r="BV27" s="2"/>
    </row>
    <row r="28" spans="1:74" ht="42.75" customHeight="1" x14ac:dyDescent="0.25">
      <c r="A28" s="2"/>
      <c r="B28" s="31"/>
      <c r="C28" s="31"/>
      <c r="D28" s="14" t="s">
        <v>182</v>
      </c>
      <c r="E28" s="14" t="s">
        <v>49</v>
      </c>
      <c r="F28" s="14" t="s">
        <v>44</v>
      </c>
      <c r="G28" s="14" t="s">
        <v>183</v>
      </c>
      <c r="H28" s="14">
        <v>2</v>
      </c>
      <c r="I28" s="14"/>
      <c r="J28" s="14">
        <f t="shared" si="21"/>
        <v>2</v>
      </c>
      <c r="K28" s="15"/>
      <c r="L28" s="14"/>
      <c r="M28" s="14">
        <f t="shared" si="0"/>
        <v>2</v>
      </c>
      <c r="N28" s="15"/>
      <c r="O28" s="14"/>
      <c r="P28" s="14">
        <f t="shared" si="1"/>
        <v>2</v>
      </c>
      <c r="Q28" s="15"/>
      <c r="R28" s="14"/>
      <c r="S28" s="14">
        <f t="shared" si="2"/>
        <v>2</v>
      </c>
      <c r="T28" s="15"/>
      <c r="U28" s="14"/>
      <c r="V28" s="14">
        <f t="shared" si="3"/>
        <v>2</v>
      </c>
      <c r="W28" s="15"/>
      <c r="X28" s="14"/>
      <c r="Y28" s="14">
        <f t="shared" si="4"/>
        <v>2</v>
      </c>
      <c r="Z28" s="15"/>
      <c r="AA28" s="14"/>
      <c r="AB28" s="14">
        <f t="shared" si="5"/>
        <v>2</v>
      </c>
      <c r="AC28" s="15"/>
      <c r="AD28" s="14"/>
      <c r="AE28" s="14">
        <f t="shared" si="6"/>
        <v>2</v>
      </c>
      <c r="AF28" s="15"/>
      <c r="AG28" s="14"/>
      <c r="AH28" s="14">
        <f t="shared" si="7"/>
        <v>2</v>
      </c>
      <c r="AI28" s="15"/>
      <c r="AJ28" s="14"/>
      <c r="AK28" s="14">
        <f t="shared" si="8"/>
        <v>2</v>
      </c>
      <c r="AL28" s="15"/>
      <c r="AM28" s="14"/>
      <c r="AN28" s="14">
        <f t="shared" si="9"/>
        <v>2</v>
      </c>
      <c r="AO28" s="15"/>
      <c r="AP28" s="14"/>
      <c r="AQ28" s="14">
        <f t="shared" si="10"/>
        <v>2</v>
      </c>
      <c r="AR28" s="15"/>
      <c r="AS28" s="14"/>
      <c r="AT28" s="14">
        <f t="shared" si="11"/>
        <v>2</v>
      </c>
      <c r="AU28" s="15"/>
      <c r="AV28" s="14"/>
      <c r="AW28" s="14">
        <f t="shared" si="12"/>
        <v>2</v>
      </c>
      <c r="AX28" s="15"/>
      <c r="AY28" s="14"/>
      <c r="AZ28" s="14"/>
      <c r="BA28" s="15"/>
      <c r="BB28" s="14"/>
      <c r="BC28" s="14">
        <f t="shared" si="14"/>
        <v>0</v>
      </c>
      <c r="BD28" s="15"/>
      <c r="BE28" s="14"/>
      <c r="BF28" s="14"/>
      <c r="BG28" s="15"/>
      <c r="BH28" s="14"/>
      <c r="BI28" s="14">
        <f t="shared" si="16"/>
        <v>0</v>
      </c>
      <c r="BJ28" s="15"/>
      <c r="BK28" s="14"/>
      <c r="BL28" s="14">
        <f t="shared" si="17"/>
        <v>0</v>
      </c>
      <c r="BM28" s="15"/>
      <c r="BN28" s="14"/>
      <c r="BO28" s="14">
        <f t="shared" si="18"/>
        <v>0</v>
      </c>
      <c r="BP28" s="15"/>
      <c r="BQ28" s="17">
        <f t="shared" si="22"/>
        <v>0</v>
      </c>
      <c r="BR28" s="17">
        <f t="shared" si="20"/>
        <v>2</v>
      </c>
      <c r="BS28" s="2"/>
      <c r="BT28" s="2"/>
      <c r="BU28" s="2"/>
      <c r="BV28" s="2"/>
    </row>
    <row r="29" spans="1:74" ht="42.75" customHeight="1" x14ac:dyDescent="0.25">
      <c r="A29" s="2"/>
      <c r="B29" s="31"/>
      <c r="C29" s="31"/>
      <c r="D29" s="14" t="s">
        <v>188</v>
      </c>
      <c r="E29" s="14" t="s">
        <v>43</v>
      </c>
      <c r="F29" s="14" t="s">
        <v>44</v>
      </c>
      <c r="G29" s="14" t="s">
        <v>189</v>
      </c>
      <c r="H29" s="14">
        <v>2</v>
      </c>
      <c r="I29" s="14"/>
      <c r="J29" s="14">
        <f t="shared" si="21"/>
        <v>2</v>
      </c>
      <c r="K29" s="15"/>
      <c r="L29" s="14"/>
      <c r="M29" s="14">
        <f t="shared" si="0"/>
        <v>2</v>
      </c>
      <c r="N29" s="15"/>
      <c r="O29" s="14"/>
      <c r="P29" s="14">
        <f t="shared" si="1"/>
        <v>2</v>
      </c>
      <c r="Q29" s="15"/>
      <c r="R29" s="14"/>
      <c r="S29" s="14">
        <f t="shared" si="2"/>
        <v>2</v>
      </c>
      <c r="T29" s="15"/>
      <c r="U29" s="14"/>
      <c r="V29" s="14">
        <f t="shared" si="3"/>
        <v>2</v>
      </c>
      <c r="W29" s="15"/>
      <c r="X29" s="14"/>
      <c r="Y29" s="14">
        <f t="shared" si="4"/>
        <v>2</v>
      </c>
      <c r="Z29" s="15"/>
      <c r="AA29" s="14"/>
      <c r="AB29" s="14">
        <f t="shared" si="5"/>
        <v>2</v>
      </c>
      <c r="AC29" s="15"/>
      <c r="AD29" s="14"/>
      <c r="AE29" s="14">
        <f t="shared" si="6"/>
        <v>2</v>
      </c>
      <c r="AF29" s="15"/>
      <c r="AG29" s="14"/>
      <c r="AH29" s="14">
        <f t="shared" si="7"/>
        <v>2</v>
      </c>
      <c r="AI29" s="15"/>
      <c r="AJ29" s="14"/>
      <c r="AK29" s="14">
        <f t="shared" si="8"/>
        <v>2</v>
      </c>
      <c r="AL29" s="15"/>
      <c r="AM29" s="14"/>
      <c r="AN29" s="14">
        <f t="shared" si="9"/>
        <v>2</v>
      </c>
      <c r="AO29" s="15"/>
      <c r="AP29" s="14"/>
      <c r="AQ29" s="14">
        <f t="shared" si="10"/>
        <v>2</v>
      </c>
      <c r="AR29" s="15"/>
      <c r="AS29" s="14"/>
      <c r="AT29" s="14">
        <f t="shared" si="11"/>
        <v>2</v>
      </c>
      <c r="AU29" s="15"/>
      <c r="AV29" s="14"/>
      <c r="AW29" s="14">
        <f t="shared" si="12"/>
        <v>2</v>
      </c>
      <c r="AX29" s="15"/>
      <c r="AY29" s="14"/>
      <c r="AZ29" s="14"/>
      <c r="BA29" s="15"/>
      <c r="BB29" s="14"/>
      <c r="BC29" s="14">
        <f t="shared" si="14"/>
        <v>0</v>
      </c>
      <c r="BD29" s="15"/>
      <c r="BE29" s="14"/>
      <c r="BF29" s="14"/>
      <c r="BG29" s="15"/>
      <c r="BH29" s="14"/>
      <c r="BI29" s="14">
        <f t="shared" si="16"/>
        <v>0</v>
      </c>
      <c r="BJ29" s="15"/>
      <c r="BK29" s="14"/>
      <c r="BL29" s="14">
        <f t="shared" si="17"/>
        <v>0</v>
      </c>
      <c r="BM29" s="15"/>
      <c r="BN29" s="14"/>
      <c r="BO29" s="14">
        <f t="shared" si="18"/>
        <v>0</v>
      </c>
      <c r="BP29" s="15"/>
      <c r="BQ29" s="17">
        <f t="shared" si="22"/>
        <v>0</v>
      </c>
      <c r="BR29" s="17">
        <f t="shared" si="20"/>
        <v>2</v>
      </c>
      <c r="BS29" s="2"/>
      <c r="BT29" s="2"/>
      <c r="BU29" s="2"/>
      <c r="BV29" s="2"/>
    </row>
    <row r="30" spans="1:74" ht="42.75" customHeight="1" x14ac:dyDescent="0.25">
      <c r="A30" s="2"/>
      <c r="B30" s="31"/>
      <c r="C30" s="31"/>
      <c r="D30" s="14" t="s">
        <v>190</v>
      </c>
      <c r="E30" s="14" t="s">
        <v>43</v>
      </c>
      <c r="F30" s="14" t="s">
        <v>44</v>
      </c>
      <c r="G30" s="14" t="s">
        <v>191</v>
      </c>
      <c r="H30" s="14">
        <v>2</v>
      </c>
      <c r="I30" s="14"/>
      <c r="J30" s="14">
        <f t="shared" si="21"/>
        <v>2</v>
      </c>
      <c r="K30" s="15"/>
      <c r="L30" s="14"/>
      <c r="M30" s="14">
        <f t="shared" si="0"/>
        <v>2</v>
      </c>
      <c r="N30" s="15"/>
      <c r="O30" s="14"/>
      <c r="P30" s="14">
        <f t="shared" si="1"/>
        <v>2</v>
      </c>
      <c r="Q30" s="15"/>
      <c r="R30" s="14"/>
      <c r="S30" s="14">
        <f t="shared" si="2"/>
        <v>2</v>
      </c>
      <c r="T30" s="15"/>
      <c r="U30" s="14"/>
      <c r="V30" s="14">
        <f t="shared" si="3"/>
        <v>2</v>
      </c>
      <c r="W30" s="15"/>
      <c r="X30" s="14"/>
      <c r="Y30" s="14">
        <f t="shared" si="4"/>
        <v>2</v>
      </c>
      <c r="Z30" s="15"/>
      <c r="AA30" s="14"/>
      <c r="AB30" s="14">
        <f t="shared" si="5"/>
        <v>2</v>
      </c>
      <c r="AC30" s="15"/>
      <c r="AD30" s="14"/>
      <c r="AE30" s="14">
        <f t="shared" si="6"/>
        <v>2</v>
      </c>
      <c r="AF30" s="15"/>
      <c r="AG30" s="14"/>
      <c r="AH30" s="14">
        <f t="shared" si="7"/>
        <v>2</v>
      </c>
      <c r="AI30" s="15"/>
      <c r="AJ30" s="14"/>
      <c r="AK30" s="14">
        <f t="shared" si="8"/>
        <v>2</v>
      </c>
      <c r="AL30" s="15"/>
      <c r="AM30" s="14"/>
      <c r="AN30" s="14">
        <f t="shared" si="9"/>
        <v>2</v>
      </c>
      <c r="AO30" s="15"/>
      <c r="AP30" s="14"/>
      <c r="AQ30" s="14">
        <f t="shared" si="10"/>
        <v>2</v>
      </c>
      <c r="AR30" s="15"/>
      <c r="AS30" s="14"/>
      <c r="AT30" s="14">
        <f t="shared" si="11"/>
        <v>2</v>
      </c>
      <c r="AU30" s="15"/>
      <c r="AV30" s="14"/>
      <c r="AW30" s="14">
        <f t="shared" si="12"/>
        <v>2</v>
      </c>
      <c r="AX30" s="15"/>
      <c r="AY30" s="14"/>
      <c r="AZ30" s="14"/>
      <c r="BA30" s="15"/>
      <c r="BB30" s="14"/>
      <c r="BC30" s="14">
        <f t="shared" si="14"/>
        <v>0</v>
      </c>
      <c r="BD30" s="15"/>
      <c r="BE30" s="14"/>
      <c r="BF30" s="14"/>
      <c r="BG30" s="15"/>
      <c r="BH30" s="14"/>
      <c r="BI30" s="14">
        <f t="shared" si="16"/>
        <v>0</v>
      </c>
      <c r="BJ30" s="15"/>
      <c r="BK30" s="14"/>
      <c r="BL30" s="14">
        <f t="shared" si="17"/>
        <v>0</v>
      </c>
      <c r="BM30" s="15"/>
      <c r="BN30" s="14"/>
      <c r="BO30" s="14">
        <f t="shared" si="18"/>
        <v>0</v>
      </c>
      <c r="BP30" s="15"/>
      <c r="BQ30" s="17">
        <f t="shared" si="22"/>
        <v>0</v>
      </c>
      <c r="BR30" s="17">
        <f t="shared" si="20"/>
        <v>2</v>
      </c>
      <c r="BS30" s="2"/>
      <c r="BT30" s="2"/>
      <c r="BU30" s="2"/>
      <c r="BV30" s="2"/>
    </row>
    <row r="31" spans="1:74" ht="42.75" customHeight="1" x14ac:dyDescent="0.25">
      <c r="A31" s="2"/>
      <c r="B31" s="32"/>
      <c r="C31" s="32"/>
      <c r="D31" s="14" t="s">
        <v>194</v>
      </c>
      <c r="E31" s="14" t="s">
        <v>49</v>
      </c>
      <c r="F31" s="14" t="s">
        <v>44</v>
      </c>
      <c r="G31" s="14" t="s">
        <v>195</v>
      </c>
      <c r="H31" s="14">
        <v>1</v>
      </c>
      <c r="I31" s="14"/>
      <c r="J31" s="14">
        <f t="shared" si="21"/>
        <v>1</v>
      </c>
      <c r="K31" s="15"/>
      <c r="L31" s="14"/>
      <c r="M31" s="14">
        <f t="shared" si="0"/>
        <v>1</v>
      </c>
      <c r="N31" s="15"/>
      <c r="O31" s="14"/>
      <c r="P31" s="14">
        <f t="shared" si="1"/>
        <v>1</v>
      </c>
      <c r="Q31" s="15"/>
      <c r="R31" s="14"/>
      <c r="S31" s="14">
        <f t="shared" si="2"/>
        <v>1</v>
      </c>
      <c r="T31" s="15"/>
      <c r="U31" s="14"/>
      <c r="V31" s="14">
        <f t="shared" si="3"/>
        <v>1</v>
      </c>
      <c r="W31" s="15"/>
      <c r="X31" s="14"/>
      <c r="Y31" s="14">
        <f t="shared" si="4"/>
        <v>1</v>
      </c>
      <c r="Z31" s="15"/>
      <c r="AA31" s="14"/>
      <c r="AB31" s="14">
        <f t="shared" si="5"/>
        <v>1</v>
      </c>
      <c r="AC31" s="15"/>
      <c r="AD31" s="14"/>
      <c r="AE31" s="14">
        <f t="shared" si="6"/>
        <v>1</v>
      </c>
      <c r="AF31" s="15"/>
      <c r="AG31" s="14"/>
      <c r="AH31" s="14">
        <f t="shared" si="7"/>
        <v>1</v>
      </c>
      <c r="AI31" s="15"/>
      <c r="AJ31" s="14"/>
      <c r="AK31" s="14">
        <f t="shared" si="8"/>
        <v>1</v>
      </c>
      <c r="AL31" s="15"/>
      <c r="AM31" s="14"/>
      <c r="AN31" s="14">
        <f t="shared" si="9"/>
        <v>1</v>
      </c>
      <c r="AO31" s="15"/>
      <c r="AP31" s="14"/>
      <c r="AQ31" s="14">
        <f t="shared" si="10"/>
        <v>1</v>
      </c>
      <c r="AR31" s="15"/>
      <c r="AS31" s="14"/>
      <c r="AT31" s="14">
        <f t="shared" si="11"/>
        <v>1</v>
      </c>
      <c r="AU31" s="15"/>
      <c r="AV31" s="14"/>
      <c r="AW31" s="14">
        <f t="shared" si="12"/>
        <v>1</v>
      </c>
      <c r="AX31" s="15"/>
      <c r="AY31" s="14"/>
      <c r="AZ31" s="14"/>
      <c r="BA31" s="15"/>
      <c r="BB31" s="14"/>
      <c r="BC31" s="14">
        <f t="shared" si="14"/>
        <v>0</v>
      </c>
      <c r="BD31" s="15"/>
      <c r="BE31" s="14"/>
      <c r="BF31" s="14"/>
      <c r="BG31" s="15"/>
      <c r="BH31" s="14"/>
      <c r="BI31" s="14">
        <f t="shared" si="16"/>
        <v>0</v>
      </c>
      <c r="BJ31" s="15"/>
      <c r="BK31" s="14"/>
      <c r="BL31" s="14">
        <f t="shared" si="17"/>
        <v>0</v>
      </c>
      <c r="BM31" s="15"/>
      <c r="BN31" s="14"/>
      <c r="BO31" s="14">
        <f t="shared" si="18"/>
        <v>0</v>
      </c>
      <c r="BP31" s="15"/>
      <c r="BQ31" s="17">
        <f t="shared" si="22"/>
        <v>0</v>
      </c>
      <c r="BR31" s="17">
        <f t="shared" si="20"/>
        <v>1</v>
      </c>
      <c r="BS31" s="2"/>
      <c r="BT31" s="2"/>
      <c r="BU31" s="2"/>
      <c r="BV31" s="2"/>
    </row>
    <row r="32" spans="1:74" ht="42.75" customHeight="1" x14ac:dyDescent="0.25">
      <c r="A32" s="2"/>
      <c r="B32" s="38" t="s">
        <v>196</v>
      </c>
      <c r="C32" s="40" t="s">
        <v>197</v>
      </c>
      <c r="D32" s="14" t="s">
        <v>198</v>
      </c>
      <c r="E32" s="14" t="s">
        <v>43</v>
      </c>
      <c r="F32" s="14" t="s">
        <v>44</v>
      </c>
      <c r="G32" s="14" t="s">
        <v>199</v>
      </c>
      <c r="H32" s="14">
        <v>2</v>
      </c>
      <c r="I32" s="14"/>
      <c r="J32" s="14">
        <f t="shared" si="21"/>
        <v>2</v>
      </c>
      <c r="K32" s="15"/>
      <c r="L32" s="14"/>
      <c r="M32" s="14">
        <f t="shared" si="0"/>
        <v>2</v>
      </c>
      <c r="N32" s="15"/>
      <c r="O32" s="14"/>
      <c r="P32" s="14">
        <f t="shared" si="1"/>
        <v>2</v>
      </c>
      <c r="Q32" s="15"/>
      <c r="R32" s="14"/>
      <c r="S32" s="14">
        <f t="shared" si="2"/>
        <v>2</v>
      </c>
      <c r="T32" s="15"/>
      <c r="U32" s="14"/>
      <c r="V32" s="14">
        <f t="shared" si="3"/>
        <v>2</v>
      </c>
      <c r="W32" s="15"/>
      <c r="X32" s="14"/>
      <c r="Y32" s="14">
        <f t="shared" si="4"/>
        <v>2</v>
      </c>
      <c r="Z32" s="15"/>
      <c r="AA32" s="14"/>
      <c r="AB32" s="14">
        <f t="shared" si="5"/>
        <v>2</v>
      </c>
      <c r="AC32" s="15"/>
      <c r="AD32" s="14"/>
      <c r="AE32" s="14">
        <f t="shared" si="6"/>
        <v>2</v>
      </c>
      <c r="AF32" s="15"/>
      <c r="AG32" s="14"/>
      <c r="AH32" s="14">
        <f t="shared" si="7"/>
        <v>2</v>
      </c>
      <c r="AI32" s="15"/>
      <c r="AJ32" s="14"/>
      <c r="AK32" s="14">
        <f t="shared" si="8"/>
        <v>2</v>
      </c>
      <c r="AL32" s="15"/>
      <c r="AM32" s="14"/>
      <c r="AN32" s="14">
        <f t="shared" si="9"/>
        <v>2</v>
      </c>
      <c r="AO32" s="15"/>
      <c r="AP32" s="14"/>
      <c r="AQ32" s="14">
        <f t="shared" si="10"/>
        <v>2</v>
      </c>
      <c r="AR32" s="15"/>
      <c r="AS32" s="14"/>
      <c r="AT32" s="14">
        <f t="shared" si="11"/>
        <v>2</v>
      </c>
      <c r="AU32" s="15"/>
      <c r="AV32" s="14"/>
      <c r="AW32" s="14">
        <f t="shared" si="12"/>
        <v>2</v>
      </c>
      <c r="AX32" s="15"/>
      <c r="AY32" s="14"/>
      <c r="AZ32" s="14"/>
      <c r="BA32" s="15"/>
      <c r="BB32" s="14"/>
      <c r="BC32" s="14">
        <f t="shared" si="14"/>
        <v>0</v>
      </c>
      <c r="BD32" s="15"/>
      <c r="BE32" s="14"/>
      <c r="BF32" s="14"/>
      <c r="BG32" s="15"/>
      <c r="BH32" s="14"/>
      <c r="BI32" s="14">
        <f t="shared" si="16"/>
        <v>0</v>
      </c>
      <c r="BJ32" s="15"/>
      <c r="BK32" s="14"/>
      <c r="BL32" s="14">
        <f t="shared" si="17"/>
        <v>0</v>
      </c>
      <c r="BM32" s="15"/>
      <c r="BN32" s="14"/>
      <c r="BO32" s="14">
        <f t="shared" si="18"/>
        <v>0</v>
      </c>
      <c r="BP32" s="15"/>
      <c r="BQ32" s="17">
        <f t="shared" si="22"/>
        <v>0</v>
      </c>
      <c r="BR32" s="17">
        <f t="shared" si="20"/>
        <v>2</v>
      </c>
      <c r="BS32" s="2"/>
      <c r="BT32" s="2"/>
      <c r="BU32" s="2"/>
      <c r="BV32" s="2"/>
    </row>
    <row r="33" spans="1:74" ht="42.75" customHeight="1" x14ac:dyDescent="0.25">
      <c r="A33" s="2"/>
      <c r="B33" s="31"/>
      <c r="C33" s="31"/>
      <c r="D33" s="14" t="s">
        <v>202</v>
      </c>
      <c r="E33" s="14" t="s">
        <v>43</v>
      </c>
      <c r="F33" s="14" t="s">
        <v>44</v>
      </c>
      <c r="G33" s="14" t="s">
        <v>203</v>
      </c>
      <c r="H33" s="14">
        <v>4</v>
      </c>
      <c r="I33" s="14"/>
      <c r="J33" s="14">
        <f t="shared" si="21"/>
        <v>4</v>
      </c>
      <c r="K33" s="15"/>
      <c r="L33" s="14"/>
      <c r="M33" s="14">
        <f t="shared" si="0"/>
        <v>4</v>
      </c>
      <c r="N33" s="15"/>
      <c r="O33" s="14"/>
      <c r="P33" s="14">
        <f t="shared" si="1"/>
        <v>4</v>
      </c>
      <c r="Q33" s="15"/>
      <c r="R33" s="14"/>
      <c r="S33" s="14">
        <f t="shared" si="2"/>
        <v>4</v>
      </c>
      <c r="T33" s="15"/>
      <c r="U33" s="14"/>
      <c r="V33" s="14">
        <f t="shared" si="3"/>
        <v>4</v>
      </c>
      <c r="W33" s="15"/>
      <c r="X33" s="14"/>
      <c r="Y33" s="14">
        <f t="shared" si="4"/>
        <v>4</v>
      </c>
      <c r="Z33" s="15"/>
      <c r="AA33" s="14"/>
      <c r="AB33" s="14">
        <f t="shared" si="5"/>
        <v>4</v>
      </c>
      <c r="AC33" s="15"/>
      <c r="AD33" s="14"/>
      <c r="AE33" s="14">
        <f t="shared" si="6"/>
        <v>4</v>
      </c>
      <c r="AF33" s="15"/>
      <c r="AG33" s="14"/>
      <c r="AH33" s="14">
        <f t="shared" si="7"/>
        <v>4</v>
      </c>
      <c r="AI33" s="15"/>
      <c r="AJ33" s="14"/>
      <c r="AK33" s="14">
        <f t="shared" si="8"/>
        <v>4</v>
      </c>
      <c r="AL33" s="15"/>
      <c r="AM33" s="14"/>
      <c r="AN33" s="14">
        <f t="shared" si="9"/>
        <v>4</v>
      </c>
      <c r="AO33" s="15"/>
      <c r="AP33" s="14"/>
      <c r="AQ33" s="14">
        <f t="shared" si="10"/>
        <v>4</v>
      </c>
      <c r="AR33" s="15"/>
      <c r="AS33" s="14"/>
      <c r="AT33" s="14">
        <f t="shared" si="11"/>
        <v>4</v>
      </c>
      <c r="AU33" s="15"/>
      <c r="AV33" s="14"/>
      <c r="AW33" s="14">
        <f t="shared" si="12"/>
        <v>4</v>
      </c>
      <c r="AX33" s="15"/>
      <c r="AY33" s="14"/>
      <c r="AZ33" s="14"/>
      <c r="BA33" s="15"/>
      <c r="BB33" s="14"/>
      <c r="BC33" s="14">
        <f t="shared" si="14"/>
        <v>0</v>
      </c>
      <c r="BD33" s="15"/>
      <c r="BE33" s="14"/>
      <c r="BF33" s="14"/>
      <c r="BG33" s="15"/>
      <c r="BH33" s="14"/>
      <c r="BI33" s="14">
        <f t="shared" si="16"/>
        <v>0</v>
      </c>
      <c r="BJ33" s="15"/>
      <c r="BK33" s="14"/>
      <c r="BL33" s="14">
        <f t="shared" si="17"/>
        <v>0</v>
      </c>
      <c r="BM33" s="15"/>
      <c r="BN33" s="14"/>
      <c r="BO33" s="14">
        <f t="shared" si="18"/>
        <v>0</v>
      </c>
      <c r="BP33" s="15"/>
      <c r="BQ33" s="17">
        <f t="shared" si="22"/>
        <v>0</v>
      </c>
      <c r="BR33" s="17">
        <f t="shared" si="20"/>
        <v>4</v>
      </c>
      <c r="BS33" s="2"/>
      <c r="BT33" s="2"/>
      <c r="BU33" s="2"/>
      <c r="BV33" s="2"/>
    </row>
    <row r="34" spans="1:74" ht="42.75" customHeight="1" x14ac:dyDescent="0.25">
      <c r="A34" s="2"/>
      <c r="B34" s="31"/>
      <c r="C34" s="31"/>
      <c r="D34" s="14" t="s">
        <v>204</v>
      </c>
      <c r="E34" s="14" t="s">
        <v>49</v>
      </c>
      <c r="F34" s="14" t="s">
        <v>44</v>
      </c>
      <c r="G34" s="14" t="s">
        <v>205</v>
      </c>
      <c r="H34" s="14">
        <v>3</v>
      </c>
      <c r="I34" s="14"/>
      <c r="J34" s="14">
        <f t="shared" si="21"/>
        <v>3</v>
      </c>
      <c r="K34" s="15"/>
      <c r="L34" s="14"/>
      <c r="M34" s="14">
        <f t="shared" si="0"/>
        <v>3</v>
      </c>
      <c r="N34" s="15"/>
      <c r="O34" s="14"/>
      <c r="P34" s="14">
        <f t="shared" si="1"/>
        <v>3</v>
      </c>
      <c r="Q34" s="15"/>
      <c r="R34" s="14"/>
      <c r="S34" s="14">
        <f t="shared" si="2"/>
        <v>3</v>
      </c>
      <c r="T34" s="15"/>
      <c r="U34" s="14"/>
      <c r="V34" s="14">
        <f t="shared" si="3"/>
        <v>3</v>
      </c>
      <c r="W34" s="15"/>
      <c r="X34" s="14"/>
      <c r="Y34" s="14">
        <f t="shared" si="4"/>
        <v>3</v>
      </c>
      <c r="Z34" s="15"/>
      <c r="AA34" s="14"/>
      <c r="AB34" s="14">
        <f t="shared" si="5"/>
        <v>3</v>
      </c>
      <c r="AC34" s="15"/>
      <c r="AD34" s="14"/>
      <c r="AE34" s="14">
        <f t="shared" si="6"/>
        <v>3</v>
      </c>
      <c r="AF34" s="15"/>
      <c r="AG34" s="14"/>
      <c r="AH34" s="14">
        <f t="shared" si="7"/>
        <v>3</v>
      </c>
      <c r="AI34" s="15"/>
      <c r="AJ34" s="14"/>
      <c r="AK34" s="14">
        <f t="shared" si="8"/>
        <v>3</v>
      </c>
      <c r="AL34" s="15"/>
      <c r="AM34" s="14"/>
      <c r="AN34" s="14">
        <f t="shared" si="9"/>
        <v>3</v>
      </c>
      <c r="AO34" s="15"/>
      <c r="AP34" s="14"/>
      <c r="AQ34" s="14">
        <f t="shared" si="10"/>
        <v>3</v>
      </c>
      <c r="AR34" s="15"/>
      <c r="AS34" s="14"/>
      <c r="AT34" s="14">
        <f t="shared" si="11"/>
        <v>3</v>
      </c>
      <c r="AU34" s="15"/>
      <c r="AV34" s="14"/>
      <c r="AW34" s="14">
        <f t="shared" si="12"/>
        <v>3</v>
      </c>
      <c r="AX34" s="15"/>
      <c r="AY34" s="14"/>
      <c r="AZ34" s="14"/>
      <c r="BA34" s="15"/>
      <c r="BB34" s="14"/>
      <c r="BC34" s="14">
        <f t="shared" si="14"/>
        <v>0</v>
      </c>
      <c r="BD34" s="15"/>
      <c r="BE34" s="14"/>
      <c r="BF34" s="14"/>
      <c r="BG34" s="15"/>
      <c r="BH34" s="14"/>
      <c r="BI34" s="14">
        <f t="shared" si="16"/>
        <v>0</v>
      </c>
      <c r="BJ34" s="15"/>
      <c r="BK34" s="14"/>
      <c r="BL34" s="14">
        <f t="shared" si="17"/>
        <v>0</v>
      </c>
      <c r="BM34" s="15"/>
      <c r="BN34" s="14"/>
      <c r="BO34" s="14">
        <f t="shared" si="18"/>
        <v>0</v>
      </c>
      <c r="BP34" s="15"/>
      <c r="BQ34" s="17">
        <f t="shared" si="22"/>
        <v>0</v>
      </c>
      <c r="BR34" s="17">
        <f t="shared" si="20"/>
        <v>3</v>
      </c>
      <c r="BS34" s="2"/>
      <c r="BT34" s="2"/>
      <c r="BU34" s="2"/>
      <c r="BV34" s="2"/>
    </row>
    <row r="35" spans="1:74" ht="42.75" customHeight="1" x14ac:dyDescent="0.25">
      <c r="A35" s="2"/>
      <c r="B35" s="32"/>
      <c r="C35" s="32"/>
      <c r="D35" s="14" t="s">
        <v>208</v>
      </c>
      <c r="E35" s="14" t="s">
        <v>43</v>
      </c>
      <c r="F35" s="14" t="s">
        <v>44</v>
      </c>
      <c r="G35" s="14" t="s">
        <v>209</v>
      </c>
      <c r="H35" s="14">
        <v>3</v>
      </c>
      <c r="I35" s="14"/>
      <c r="J35" s="14">
        <f t="shared" si="21"/>
        <v>3</v>
      </c>
      <c r="K35" s="15"/>
      <c r="L35" s="14"/>
      <c r="M35" s="14">
        <f t="shared" si="0"/>
        <v>3</v>
      </c>
      <c r="N35" s="15"/>
      <c r="O35" s="14"/>
      <c r="P35" s="14">
        <f t="shared" si="1"/>
        <v>3</v>
      </c>
      <c r="Q35" s="15"/>
      <c r="R35" s="14"/>
      <c r="S35" s="14">
        <f t="shared" si="2"/>
        <v>3</v>
      </c>
      <c r="T35" s="15"/>
      <c r="U35" s="14"/>
      <c r="V35" s="14">
        <f t="shared" si="3"/>
        <v>3</v>
      </c>
      <c r="W35" s="15"/>
      <c r="X35" s="14"/>
      <c r="Y35" s="14">
        <f t="shared" si="4"/>
        <v>3</v>
      </c>
      <c r="Z35" s="15"/>
      <c r="AA35" s="14"/>
      <c r="AB35" s="14">
        <f t="shared" si="5"/>
        <v>3</v>
      </c>
      <c r="AC35" s="15"/>
      <c r="AD35" s="14"/>
      <c r="AE35" s="14">
        <f t="shared" si="6"/>
        <v>3</v>
      </c>
      <c r="AF35" s="15"/>
      <c r="AG35" s="14"/>
      <c r="AH35" s="14">
        <f t="shared" si="7"/>
        <v>3</v>
      </c>
      <c r="AI35" s="15"/>
      <c r="AJ35" s="14"/>
      <c r="AK35" s="14">
        <f t="shared" si="8"/>
        <v>3</v>
      </c>
      <c r="AL35" s="15"/>
      <c r="AM35" s="14"/>
      <c r="AN35" s="14">
        <f t="shared" si="9"/>
        <v>3</v>
      </c>
      <c r="AO35" s="15"/>
      <c r="AP35" s="14"/>
      <c r="AQ35" s="14">
        <f t="shared" si="10"/>
        <v>3</v>
      </c>
      <c r="AR35" s="15"/>
      <c r="AS35" s="14"/>
      <c r="AT35" s="14">
        <f t="shared" si="11"/>
        <v>3</v>
      </c>
      <c r="AU35" s="15"/>
      <c r="AV35" s="14"/>
      <c r="AW35" s="14">
        <f t="shared" si="12"/>
        <v>3</v>
      </c>
      <c r="AX35" s="15"/>
      <c r="AY35" s="14"/>
      <c r="AZ35" s="14"/>
      <c r="BA35" s="15"/>
      <c r="BB35" s="14"/>
      <c r="BC35" s="14">
        <f t="shared" si="14"/>
        <v>0</v>
      </c>
      <c r="BD35" s="15"/>
      <c r="BE35" s="14"/>
      <c r="BF35" s="14"/>
      <c r="BG35" s="15"/>
      <c r="BH35" s="14"/>
      <c r="BI35" s="14">
        <f t="shared" si="16"/>
        <v>0</v>
      </c>
      <c r="BJ35" s="15"/>
      <c r="BK35" s="14"/>
      <c r="BL35" s="14">
        <f t="shared" si="17"/>
        <v>0</v>
      </c>
      <c r="BM35" s="15"/>
      <c r="BN35" s="14"/>
      <c r="BO35" s="14">
        <f t="shared" si="18"/>
        <v>0</v>
      </c>
      <c r="BP35" s="15"/>
      <c r="BQ35" s="17">
        <f t="shared" si="22"/>
        <v>0</v>
      </c>
      <c r="BR35" s="17">
        <f t="shared" si="20"/>
        <v>3</v>
      </c>
      <c r="BS35" s="2"/>
      <c r="BT35" s="2"/>
      <c r="BU35" s="2"/>
      <c r="BV35" s="2"/>
    </row>
    <row r="36" spans="1:74" ht="56.25" customHeight="1" x14ac:dyDescent="0.25">
      <c r="A36" s="21"/>
      <c r="B36" s="38" t="s">
        <v>210</v>
      </c>
      <c r="C36" s="40" t="s">
        <v>211</v>
      </c>
      <c r="D36" s="14" t="s">
        <v>213</v>
      </c>
      <c r="E36" s="14" t="s">
        <v>49</v>
      </c>
      <c r="F36" s="14" t="s">
        <v>215</v>
      </c>
      <c r="G36" s="14" t="s">
        <v>216</v>
      </c>
      <c r="H36" s="14">
        <v>2</v>
      </c>
      <c r="I36" s="14">
        <v>1</v>
      </c>
      <c r="J36" s="14">
        <f t="shared" si="21"/>
        <v>1</v>
      </c>
      <c r="K36" s="15"/>
      <c r="L36" s="14"/>
      <c r="M36" s="14">
        <f t="shared" si="0"/>
        <v>1</v>
      </c>
      <c r="N36" s="15"/>
      <c r="O36" s="14"/>
      <c r="P36" s="14">
        <f t="shared" si="1"/>
        <v>1</v>
      </c>
      <c r="Q36" s="15"/>
      <c r="R36" s="14"/>
      <c r="S36" s="14">
        <f t="shared" si="2"/>
        <v>1</v>
      </c>
      <c r="T36" s="15"/>
      <c r="U36" s="14"/>
      <c r="V36" s="14">
        <f t="shared" si="3"/>
        <v>1</v>
      </c>
      <c r="W36" s="15"/>
      <c r="X36" s="14"/>
      <c r="Y36" s="14">
        <f t="shared" si="4"/>
        <v>1</v>
      </c>
      <c r="Z36" s="15"/>
      <c r="AA36" s="14"/>
      <c r="AB36" s="14">
        <f t="shared" si="5"/>
        <v>1</v>
      </c>
      <c r="AC36" s="15"/>
      <c r="AD36" s="14"/>
      <c r="AE36" s="14">
        <f t="shared" si="6"/>
        <v>1</v>
      </c>
      <c r="AF36" s="15"/>
      <c r="AG36" s="14"/>
      <c r="AH36" s="14">
        <f t="shared" si="7"/>
        <v>1</v>
      </c>
      <c r="AI36" s="15"/>
      <c r="AJ36" s="14"/>
      <c r="AK36" s="14">
        <f t="shared" si="8"/>
        <v>1</v>
      </c>
      <c r="AL36" s="15"/>
      <c r="AM36" s="14"/>
      <c r="AN36" s="14">
        <f t="shared" si="9"/>
        <v>1</v>
      </c>
      <c r="AO36" s="15"/>
      <c r="AP36" s="14"/>
      <c r="AQ36" s="14">
        <f t="shared" si="10"/>
        <v>1</v>
      </c>
      <c r="AR36" s="15"/>
      <c r="AS36" s="14"/>
      <c r="AT36" s="14">
        <f t="shared" si="11"/>
        <v>1</v>
      </c>
      <c r="AU36" s="15"/>
      <c r="AV36" s="14"/>
      <c r="AW36" s="14">
        <f t="shared" si="12"/>
        <v>1</v>
      </c>
      <c r="AX36" s="15"/>
      <c r="AY36" s="14"/>
      <c r="AZ36" s="14">
        <f t="shared" ref="AZ36:AZ37" si="23">AW36-AY36</f>
        <v>1</v>
      </c>
      <c r="BA36" s="15"/>
      <c r="BB36" s="14"/>
      <c r="BC36" s="14">
        <f t="shared" si="14"/>
        <v>1</v>
      </c>
      <c r="BD36" s="15"/>
      <c r="BE36" s="14"/>
      <c r="BF36" s="14">
        <f t="shared" ref="BF36:BF37" si="24">BC36-BE36</f>
        <v>1</v>
      </c>
      <c r="BG36" s="15"/>
      <c r="BH36" s="14"/>
      <c r="BI36" s="14">
        <f t="shared" si="16"/>
        <v>1</v>
      </c>
      <c r="BJ36" s="15"/>
      <c r="BK36" s="14"/>
      <c r="BL36" s="14">
        <f t="shared" si="17"/>
        <v>1</v>
      </c>
      <c r="BM36" s="15"/>
      <c r="BN36" s="14"/>
      <c r="BO36" s="14">
        <f t="shared" si="18"/>
        <v>1</v>
      </c>
      <c r="BP36" s="15"/>
      <c r="BQ36" s="17">
        <f t="shared" si="22"/>
        <v>1</v>
      </c>
      <c r="BR36" s="17">
        <f t="shared" si="20"/>
        <v>1</v>
      </c>
      <c r="BS36" s="2"/>
      <c r="BT36" s="2"/>
      <c r="BU36" s="2"/>
      <c r="BV36" s="2"/>
    </row>
    <row r="37" spans="1:74" ht="47.25" customHeight="1" x14ac:dyDescent="0.25">
      <c r="A37" s="21"/>
      <c r="B37" s="32"/>
      <c r="C37" s="32"/>
      <c r="D37" s="22" t="s">
        <v>217</v>
      </c>
      <c r="E37" s="14" t="s">
        <v>43</v>
      </c>
      <c r="F37" s="14" t="s">
        <v>44</v>
      </c>
      <c r="G37" s="14" t="s">
        <v>218</v>
      </c>
      <c r="H37" s="14">
        <v>1</v>
      </c>
      <c r="I37" s="14"/>
      <c r="J37" s="14">
        <f t="shared" si="21"/>
        <v>1</v>
      </c>
      <c r="K37" s="15"/>
      <c r="L37" s="14"/>
      <c r="M37" s="14">
        <f t="shared" si="0"/>
        <v>1</v>
      </c>
      <c r="N37" s="15"/>
      <c r="O37" s="14"/>
      <c r="P37" s="14">
        <f t="shared" si="1"/>
        <v>1</v>
      </c>
      <c r="Q37" s="15"/>
      <c r="R37" s="14"/>
      <c r="S37" s="14">
        <f t="shared" si="2"/>
        <v>1</v>
      </c>
      <c r="T37" s="15"/>
      <c r="U37" s="14"/>
      <c r="V37" s="14">
        <f t="shared" si="3"/>
        <v>1</v>
      </c>
      <c r="W37" s="15"/>
      <c r="X37" s="14"/>
      <c r="Y37" s="14">
        <f t="shared" si="4"/>
        <v>1</v>
      </c>
      <c r="Z37" s="15"/>
      <c r="AA37" s="14"/>
      <c r="AB37" s="14">
        <f t="shared" si="5"/>
        <v>1</v>
      </c>
      <c r="AC37" s="15"/>
      <c r="AD37" s="14"/>
      <c r="AE37" s="14">
        <f t="shared" si="6"/>
        <v>1</v>
      </c>
      <c r="AF37" s="15"/>
      <c r="AG37" s="14"/>
      <c r="AH37" s="14">
        <f t="shared" si="7"/>
        <v>1</v>
      </c>
      <c r="AI37" s="15"/>
      <c r="AJ37" s="14"/>
      <c r="AK37" s="14">
        <f t="shared" si="8"/>
        <v>1</v>
      </c>
      <c r="AL37" s="15"/>
      <c r="AM37" s="14"/>
      <c r="AN37" s="14">
        <f t="shared" si="9"/>
        <v>1</v>
      </c>
      <c r="AO37" s="15"/>
      <c r="AP37" s="14"/>
      <c r="AQ37" s="14">
        <f t="shared" si="10"/>
        <v>1</v>
      </c>
      <c r="AR37" s="15"/>
      <c r="AS37" s="14"/>
      <c r="AT37" s="14">
        <f t="shared" si="11"/>
        <v>1</v>
      </c>
      <c r="AU37" s="15"/>
      <c r="AV37" s="14"/>
      <c r="AW37" s="14">
        <f t="shared" si="12"/>
        <v>1</v>
      </c>
      <c r="AX37" s="15"/>
      <c r="AY37" s="14"/>
      <c r="AZ37" s="14">
        <f t="shared" si="23"/>
        <v>1</v>
      </c>
      <c r="BA37" s="15"/>
      <c r="BB37" s="14"/>
      <c r="BC37" s="14">
        <f t="shared" si="14"/>
        <v>1</v>
      </c>
      <c r="BD37" s="15"/>
      <c r="BE37" s="14"/>
      <c r="BF37" s="14">
        <f t="shared" si="24"/>
        <v>1</v>
      </c>
      <c r="BG37" s="15"/>
      <c r="BH37" s="14"/>
      <c r="BI37" s="14">
        <f t="shared" si="16"/>
        <v>1</v>
      </c>
      <c r="BJ37" s="15"/>
      <c r="BK37" s="14"/>
      <c r="BL37" s="14">
        <f t="shared" si="17"/>
        <v>1</v>
      </c>
      <c r="BM37" s="15"/>
      <c r="BN37" s="14"/>
      <c r="BO37" s="14">
        <f t="shared" si="18"/>
        <v>1</v>
      </c>
      <c r="BP37" s="15"/>
      <c r="BQ37" s="17">
        <f t="shared" si="22"/>
        <v>0</v>
      </c>
      <c r="BR37" s="17">
        <f t="shared" si="20"/>
        <v>1</v>
      </c>
      <c r="BS37" s="2"/>
      <c r="BT37" s="2"/>
      <c r="BU37" s="2"/>
      <c r="BV37" s="2"/>
    </row>
    <row r="38" spans="1:74" ht="47.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row>
    <row r="39" spans="1:74" ht="47.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row>
    <row r="40" spans="1:74" ht="15.75" customHeight="1" x14ac:dyDescent="0.25">
      <c r="A40" s="2"/>
      <c r="B40" s="23"/>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row>
    <row r="41" spans="1:74"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row>
    <row r="42" spans="1:74"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row>
    <row r="43" spans="1:74"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row>
    <row r="44" spans="1:74"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row>
    <row r="45" spans="1:74"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row>
    <row r="46" spans="1:74"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row>
    <row r="47" spans="1:74"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row>
    <row r="48" spans="1:74"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row>
    <row r="49" spans="1:74"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row>
    <row r="50" spans="1:74"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row>
    <row r="51" spans="1:74"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row>
    <row r="52" spans="1:74"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row>
    <row r="53" spans="1:74"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row>
    <row r="54" spans="1:74"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row>
    <row r="55" spans="1:74"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row>
    <row r="56" spans="1:74"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row>
    <row r="57" spans="1:74"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row>
    <row r="58" spans="1:74"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row>
    <row r="59" spans="1:74"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row>
    <row r="60" spans="1:74"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row>
    <row r="61" spans="1:74"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row>
    <row r="62" spans="1:74"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row>
    <row r="63" spans="1:74"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row>
    <row r="64" spans="1:74"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row>
    <row r="65" spans="1:74"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row>
    <row r="66" spans="1:74"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row>
    <row r="67" spans="1:74"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row>
    <row r="68" spans="1:74"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row>
    <row r="69" spans="1:74"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row>
    <row r="70" spans="1:74"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row>
    <row r="71" spans="1:74"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row>
    <row r="72" spans="1:74"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row>
    <row r="73" spans="1:74"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row>
    <row r="74" spans="1:74"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row>
    <row r="75" spans="1:74"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row>
    <row r="76" spans="1:74"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row>
    <row r="77" spans="1:74"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row>
    <row r="78" spans="1:74"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row>
    <row r="79" spans="1:74"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row>
    <row r="80" spans="1:74"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row>
    <row r="81" spans="1:74"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row>
    <row r="82" spans="1:74"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row>
    <row r="83" spans="1:74"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row>
    <row r="84" spans="1:74"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row>
    <row r="85" spans="1:74"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row>
    <row r="86" spans="1:74"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row>
    <row r="87" spans="1:74"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row>
    <row r="88" spans="1:74"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row>
    <row r="89" spans="1:74"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row>
    <row r="90" spans="1:74"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row>
    <row r="91" spans="1:74"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row>
    <row r="92" spans="1:74"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row>
    <row r="93" spans="1:74"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row>
    <row r="94" spans="1:74"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row>
    <row r="95" spans="1:74"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row>
    <row r="96" spans="1:74"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row>
    <row r="97" spans="1:74"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row>
    <row r="98" spans="1:74"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row>
    <row r="99" spans="1:74"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row>
    <row r="100" spans="1:74"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row>
    <row r="101" spans="1:74"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row>
    <row r="102" spans="1:74"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row>
    <row r="103" spans="1:74"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row>
    <row r="104" spans="1:74"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row>
    <row r="105" spans="1:74"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row>
    <row r="106" spans="1:74"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row>
    <row r="107" spans="1:74"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row>
    <row r="108" spans="1:74"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row>
    <row r="109" spans="1:74"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row>
    <row r="110" spans="1:74"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row>
    <row r="111" spans="1:74"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row>
    <row r="112" spans="1:74"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row>
    <row r="113" spans="1:74"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row>
    <row r="114" spans="1:74"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row>
    <row r="115" spans="1:74"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row>
    <row r="116" spans="1:74"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row>
    <row r="117" spans="1:74"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row>
    <row r="118" spans="1:74"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row>
    <row r="119" spans="1:74"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row>
    <row r="120" spans="1:74"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row>
    <row r="121" spans="1:74"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row>
    <row r="122" spans="1:74"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row>
    <row r="123" spans="1:74"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row>
    <row r="124" spans="1:74"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row>
    <row r="125" spans="1:74"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row>
    <row r="126" spans="1:74"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row>
    <row r="127" spans="1:74"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row>
    <row r="128" spans="1:74"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row>
    <row r="129" spans="1:74"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row>
    <row r="130" spans="1:74"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row>
    <row r="131" spans="1:74"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row>
    <row r="132" spans="1:74"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row>
    <row r="133" spans="1:74"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row>
    <row r="134" spans="1:74"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row>
    <row r="135" spans="1:74"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row>
    <row r="136" spans="1:74"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row>
    <row r="137" spans="1:74"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row>
    <row r="138" spans="1:74"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row>
    <row r="139" spans="1:74"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row>
    <row r="140" spans="1:74"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row>
    <row r="141" spans="1:74"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row>
    <row r="142" spans="1:74"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row>
    <row r="143" spans="1:74"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row>
    <row r="144" spans="1:74"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row>
    <row r="145" spans="1:74"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row>
    <row r="146" spans="1:74"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row>
    <row r="147" spans="1:74"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row>
    <row r="148" spans="1:74"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row>
    <row r="149" spans="1:74"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row>
    <row r="150" spans="1:74"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row>
    <row r="151" spans="1:74"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row>
    <row r="152" spans="1:74"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row>
    <row r="153" spans="1:74"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row>
    <row r="154" spans="1:74"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row>
    <row r="155" spans="1:74"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row>
    <row r="156" spans="1:74"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row>
    <row r="157" spans="1:74"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row>
    <row r="158" spans="1:74"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row>
    <row r="159" spans="1:74"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row>
    <row r="160" spans="1:74"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row>
    <row r="161" spans="1:74"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row>
    <row r="162" spans="1:74"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row>
    <row r="163" spans="1:74"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row>
    <row r="164" spans="1:74"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row>
    <row r="165" spans="1:74"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row>
    <row r="166" spans="1:74"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row>
    <row r="167" spans="1:74"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row>
    <row r="168" spans="1:74"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row>
    <row r="169" spans="1:74"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row>
    <row r="170" spans="1:74"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row>
    <row r="171" spans="1:74"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row>
    <row r="172" spans="1:74"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row>
    <row r="173" spans="1:74"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row>
    <row r="174" spans="1:74"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row>
    <row r="175" spans="1:74"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row>
    <row r="176" spans="1:74"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row>
    <row r="177" spans="1:74"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row>
    <row r="178" spans="1:74"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row>
    <row r="179" spans="1:74"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row>
    <row r="180" spans="1:74"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row>
    <row r="181" spans="1:74"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row>
    <row r="182" spans="1:74"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row>
    <row r="183" spans="1:74"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row>
    <row r="184" spans="1:74"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row>
    <row r="185" spans="1:74"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row>
    <row r="186" spans="1:74"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row>
    <row r="187" spans="1:74"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row>
    <row r="188" spans="1:74"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row>
    <row r="189" spans="1:74"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row>
    <row r="190" spans="1:74"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row>
    <row r="191" spans="1:74"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row>
    <row r="192" spans="1:74"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row>
    <row r="193" spans="1:74"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row>
    <row r="194" spans="1:74"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row>
    <row r="195" spans="1:74"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row>
    <row r="196" spans="1:74"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row>
    <row r="197" spans="1:74"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row>
    <row r="198" spans="1:74"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row>
    <row r="199" spans="1:74"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row>
    <row r="200" spans="1:74"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row>
    <row r="201" spans="1:74"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row>
    <row r="202" spans="1:74"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row>
    <row r="203" spans="1:74"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row>
    <row r="204" spans="1:74"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row>
    <row r="205" spans="1:74"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row>
    <row r="206" spans="1:74"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row>
    <row r="207" spans="1:74"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row>
    <row r="208" spans="1:74"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row>
    <row r="209" spans="1:74"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row>
    <row r="210" spans="1:74"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row>
    <row r="211" spans="1:74"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row>
    <row r="212" spans="1:74"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row>
    <row r="213" spans="1:74"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row>
    <row r="214" spans="1:74"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row>
    <row r="215" spans="1:74"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row>
    <row r="216" spans="1:74"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row>
    <row r="217" spans="1:74"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row>
    <row r="218" spans="1:74"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row>
    <row r="219" spans="1:74"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row>
    <row r="220" spans="1:74"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row>
    <row r="221" spans="1:74"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row>
    <row r="222" spans="1:74"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row>
    <row r="223" spans="1:74"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row>
    <row r="224" spans="1:74"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row>
    <row r="225" spans="1:74"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row>
    <row r="226" spans="1:74"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row>
    <row r="227" spans="1:74"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row>
    <row r="228" spans="1:74"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row>
    <row r="229" spans="1:74"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row>
    <row r="230" spans="1:74"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row>
    <row r="231" spans="1:74"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row>
    <row r="232" spans="1:74"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row>
    <row r="233" spans="1:74" ht="15.75" customHeight="1" x14ac:dyDescent="0.25">
      <c r="BS233" s="2"/>
      <c r="BT233" s="2"/>
      <c r="BU233" s="2"/>
      <c r="BV233" s="2"/>
    </row>
    <row r="234" spans="1:74" ht="15.75" customHeight="1" x14ac:dyDescent="0.25">
      <c r="BS234" s="2"/>
      <c r="BT234" s="2"/>
      <c r="BU234" s="2"/>
      <c r="BV234" s="2"/>
    </row>
    <row r="235" spans="1:74" ht="15.75" customHeight="1" x14ac:dyDescent="0.25">
      <c r="BS235" s="2"/>
      <c r="BT235" s="2"/>
      <c r="BU235" s="2"/>
      <c r="BV235" s="2"/>
    </row>
    <row r="236" spans="1:74" ht="15.75" customHeight="1" x14ac:dyDescent="0.25">
      <c r="BS236" s="2"/>
      <c r="BT236" s="2"/>
      <c r="BU236" s="2"/>
      <c r="BV236" s="2"/>
    </row>
    <row r="237" spans="1:74" ht="15.75" customHeight="1" x14ac:dyDescent="0.25">
      <c r="BS237" s="2"/>
      <c r="BT237" s="2"/>
      <c r="BU237" s="2"/>
      <c r="BV237" s="2"/>
    </row>
    <row r="238" spans="1:74" ht="15.75" customHeight="1" x14ac:dyDescent="0.25">
      <c r="BS238" s="2"/>
      <c r="BT238" s="2"/>
      <c r="BU238" s="2"/>
      <c r="BV238" s="2"/>
    </row>
    <row r="239" spans="1:74" ht="15.75" customHeight="1" x14ac:dyDescent="0.25">
      <c r="BS239" s="2"/>
      <c r="BT239" s="2"/>
      <c r="BU239" s="2"/>
      <c r="BV239" s="2"/>
    </row>
    <row r="240" spans="1:74" ht="15.75" customHeight="1" x14ac:dyDescent="0.25">
      <c r="BS240" s="2"/>
      <c r="BT240" s="2"/>
      <c r="BU240" s="2"/>
      <c r="BV240" s="2"/>
    </row>
    <row r="241" spans="71:74" ht="15.75" customHeight="1" x14ac:dyDescent="0.25">
      <c r="BS241" s="2"/>
      <c r="BT241" s="2"/>
      <c r="BU241" s="2"/>
      <c r="BV241" s="2"/>
    </row>
    <row r="242" spans="71:74" ht="15.75" customHeight="1" x14ac:dyDescent="0.25">
      <c r="BS242" s="2"/>
      <c r="BT242" s="2"/>
      <c r="BU242" s="2"/>
      <c r="BV242" s="2"/>
    </row>
    <row r="243" spans="71:74" ht="15.75" customHeight="1" x14ac:dyDescent="0.25">
      <c r="BS243" s="2"/>
      <c r="BT243" s="2"/>
      <c r="BU243" s="2"/>
      <c r="BV243" s="2"/>
    </row>
    <row r="244" spans="71:74" ht="15.75" customHeight="1" x14ac:dyDescent="0.25">
      <c r="BS244" s="2"/>
      <c r="BT244" s="2"/>
      <c r="BU244" s="2"/>
      <c r="BV244" s="2"/>
    </row>
    <row r="245" spans="71:74" ht="15.75" customHeight="1" x14ac:dyDescent="0.25">
      <c r="BS245" s="2"/>
      <c r="BT245" s="2"/>
      <c r="BU245" s="2"/>
      <c r="BV245" s="2"/>
    </row>
    <row r="246" spans="71:74" ht="15.75" customHeight="1" x14ac:dyDescent="0.25">
      <c r="BS246" s="2"/>
      <c r="BT246" s="2"/>
      <c r="BU246" s="2"/>
      <c r="BV246" s="2"/>
    </row>
    <row r="247" spans="71:74" ht="15.75" customHeight="1" x14ac:dyDescent="0.25">
      <c r="BS247" s="2"/>
      <c r="BT247" s="2"/>
      <c r="BU247" s="2"/>
      <c r="BV247" s="2"/>
    </row>
    <row r="248" spans="71:74" ht="15.75" customHeight="1" x14ac:dyDescent="0.25">
      <c r="BS248" s="2"/>
      <c r="BT248" s="2"/>
      <c r="BU248" s="2"/>
      <c r="BV248" s="2"/>
    </row>
    <row r="249" spans="71:74" ht="15.75" customHeight="1" x14ac:dyDescent="0.25">
      <c r="BS249" s="2"/>
      <c r="BT249" s="2"/>
      <c r="BU249" s="2"/>
      <c r="BV249" s="2"/>
    </row>
    <row r="250" spans="71:74" ht="15.75" customHeight="1" x14ac:dyDescent="0.25">
      <c r="BS250" s="2"/>
      <c r="BT250" s="2"/>
      <c r="BU250" s="2"/>
      <c r="BV250" s="2"/>
    </row>
    <row r="251" spans="71:74" ht="15.75" customHeight="1" x14ac:dyDescent="0.25">
      <c r="BS251" s="2"/>
      <c r="BT251" s="2"/>
      <c r="BU251" s="2"/>
      <c r="BV251" s="2"/>
    </row>
    <row r="252" spans="71:74" ht="15.75" customHeight="1" x14ac:dyDescent="0.25">
      <c r="BS252" s="2"/>
      <c r="BT252" s="2"/>
      <c r="BU252" s="2"/>
      <c r="BV252" s="2"/>
    </row>
    <row r="253" spans="71:74" ht="15.75" customHeight="1" x14ac:dyDescent="0.25">
      <c r="BS253" s="2"/>
      <c r="BT253" s="2"/>
      <c r="BU253" s="2"/>
      <c r="BV253" s="2"/>
    </row>
    <row r="254" spans="71:74" ht="15.75" customHeight="1" x14ac:dyDescent="0.25">
      <c r="BS254" s="2"/>
      <c r="BT254" s="2"/>
      <c r="BU254" s="2"/>
      <c r="BV254" s="2"/>
    </row>
    <row r="255" spans="71:74" ht="15.75" customHeight="1" x14ac:dyDescent="0.25">
      <c r="BS255" s="2"/>
      <c r="BT255" s="2"/>
      <c r="BU255" s="2"/>
      <c r="BV255" s="2"/>
    </row>
    <row r="256" spans="71:74" ht="15.75" customHeight="1" x14ac:dyDescent="0.25">
      <c r="BS256" s="2"/>
      <c r="BT256" s="2"/>
      <c r="BU256" s="2"/>
      <c r="BV256" s="2"/>
    </row>
    <row r="257" spans="71:74" ht="15.75" customHeight="1" x14ac:dyDescent="0.25">
      <c r="BS257" s="2"/>
      <c r="BT257" s="2"/>
      <c r="BU257" s="2"/>
      <c r="BV257" s="2"/>
    </row>
    <row r="258" spans="71:74" ht="15.75" customHeight="1" x14ac:dyDescent="0.25">
      <c r="BS258" s="2"/>
      <c r="BT258" s="2"/>
      <c r="BU258" s="2"/>
      <c r="BV258" s="2"/>
    </row>
    <row r="259" spans="71:74" ht="15.75" customHeight="1" x14ac:dyDescent="0.25">
      <c r="BS259" s="2"/>
      <c r="BT259" s="2"/>
      <c r="BU259" s="2"/>
      <c r="BV259" s="2"/>
    </row>
    <row r="260" spans="71:74" ht="15.75" customHeight="1" x14ac:dyDescent="0.25">
      <c r="BS260" s="2"/>
      <c r="BT260" s="2"/>
      <c r="BU260" s="2"/>
      <c r="BV260" s="2"/>
    </row>
    <row r="261" spans="71:74" ht="15.75" customHeight="1" x14ac:dyDescent="0.25">
      <c r="BS261" s="2"/>
      <c r="BT261" s="2"/>
      <c r="BU261" s="2"/>
      <c r="BV261" s="2"/>
    </row>
    <row r="262" spans="71:74" ht="15.75" customHeight="1" x14ac:dyDescent="0.25">
      <c r="BS262" s="2"/>
      <c r="BT262" s="2"/>
      <c r="BU262" s="2"/>
      <c r="BV262" s="2"/>
    </row>
    <row r="263" spans="71:74" ht="15.75" customHeight="1" x14ac:dyDescent="0.25">
      <c r="BS263" s="2"/>
      <c r="BT263" s="2"/>
      <c r="BU263" s="2"/>
      <c r="BV263" s="2"/>
    </row>
    <row r="264" spans="71:74" ht="15.75" customHeight="1" x14ac:dyDescent="0.25">
      <c r="BS264" s="2"/>
      <c r="BT264" s="2"/>
      <c r="BU264" s="2"/>
      <c r="BV264" s="2"/>
    </row>
    <row r="265" spans="71:74" ht="15.75" customHeight="1" x14ac:dyDescent="0.25">
      <c r="BS265" s="2"/>
      <c r="BT265" s="2"/>
      <c r="BU265" s="2"/>
      <c r="BV265" s="2"/>
    </row>
    <row r="266" spans="71:74" ht="15.75" customHeight="1" x14ac:dyDescent="0.25">
      <c r="BS266" s="2"/>
      <c r="BT266" s="2"/>
      <c r="BU266" s="2"/>
      <c r="BV266" s="2"/>
    </row>
    <row r="267" spans="71:74" ht="15.75" customHeight="1" x14ac:dyDescent="0.25">
      <c r="BS267" s="2"/>
      <c r="BT267" s="2"/>
      <c r="BU267" s="2"/>
      <c r="BV267" s="2"/>
    </row>
    <row r="268" spans="71:74" ht="15.75" customHeight="1" x14ac:dyDescent="0.25">
      <c r="BS268" s="2"/>
      <c r="BT268" s="2"/>
      <c r="BU268" s="2"/>
      <c r="BV268" s="2"/>
    </row>
    <row r="269" spans="71:74" ht="15.75" customHeight="1" x14ac:dyDescent="0.25">
      <c r="BS269" s="2"/>
      <c r="BT269" s="2"/>
      <c r="BU269" s="2"/>
      <c r="BV269" s="2"/>
    </row>
    <row r="270" spans="71:74" ht="15.75" customHeight="1" x14ac:dyDescent="0.25">
      <c r="BS270" s="2"/>
      <c r="BT270" s="2"/>
      <c r="BU270" s="2"/>
      <c r="BV270" s="2"/>
    </row>
    <row r="271" spans="71:74" ht="15.75" customHeight="1" x14ac:dyDescent="0.25">
      <c r="BS271" s="2"/>
      <c r="BT271" s="2"/>
      <c r="BU271" s="2"/>
      <c r="BV271" s="2"/>
    </row>
    <row r="272" spans="71:74" ht="15.75" customHeight="1" x14ac:dyDescent="0.25">
      <c r="BS272" s="2"/>
      <c r="BT272" s="2"/>
      <c r="BU272" s="2"/>
      <c r="BV272" s="2"/>
    </row>
    <row r="273" spans="71:74" ht="15.75" customHeight="1" x14ac:dyDescent="0.25">
      <c r="BS273" s="2"/>
      <c r="BT273" s="2"/>
      <c r="BU273" s="2"/>
      <c r="BV273" s="2"/>
    </row>
    <row r="274" spans="71:74" ht="15.75" customHeight="1" x14ac:dyDescent="0.25">
      <c r="BS274" s="2"/>
      <c r="BT274" s="2"/>
      <c r="BU274" s="2"/>
      <c r="BV274" s="2"/>
    </row>
    <row r="275" spans="71:74" ht="15.75" customHeight="1" x14ac:dyDescent="0.25">
      <c r="BS275" s="2"/>
      <c r="BT275" s="2"/>
      <c r="BU275" s="2"/>
      <c r="BV275" s="2"/>
    </row>
    <row r="276" spans="71:74" ht="15.75" customHeight="1" x14ac:dyDescent="0.25">
      <c r="BS276" s="2"/>
      <c r="BT276" s="2"/>
      <c r="BU276" s="2"/>
      <c r="BV276" s="2"/>
    </row>
    <row r="277" spans="71:74" ht="15.75" customHeight="1" x14ac:dyDescent="0.25">
      <c r="BS277" s="2"/>
      <c r="BT277" s="2"/>
      <c r="BU277" s="2"/>
      <c r="BV277" s="2"/>
    </row>
    <row r="278" spans="71:74" ht="15.75" customHeight="1" x14ac:dyDescent="0.25">
      <c r="BS278" s="2"/>
      <c r="BT278" s="2"/>
      <c r="BU278" s="2"/>
      <c r="BV278" s="2"/>
    </row>
    <row r="279" spans="71:74" ht="15.75" customHeight="1" x14ac:dyDescent="0.25">
      <c r="BS279" s="2"/>
      <c r="BT279" s="2"/>
      <c r="BU279" s="2"/>
      <c r="BV279" s="2"/>
    </row>
    <row r="280" spans="71:74" ht="15.75" customHeight="1" x14ac:dyDescent="0.25">
      <c r="BS280" s="2"/>
      <c r="BT280" s="2"/>
      <c r="BU280" s="2"/>
      <c r="BV280" s="2"/>
    </row>
    <row r="281" spans="71:74" ht="15.75" customHeight="1" x14ac:dyDescent="0.25">
      <c r="BS281" s="2"/>
      <c r="BT281" s="2"/>
      <c r="BU281" s="2"/>
      <c r="BV281" s="2"/>
    </row>
    <row r="282" spans="71:74" ht="15.75" customHeight="1" x14ac:dyDescent="0.25">
      <c r="BS282" s="2"/>
      <c r="BT282" s="2"/>
      <c r="BU282" s="2"/>
      <c r="BV282" s="2"/>
    </row>
    <row r="283" spans="71:74" ht="15.75" customHeight="1" x14ac:dyDescent="0.25">
      <c r="BS283" s="2"/>
      <c r="BT283" s="2"/>
      <c r="BU283" s="2"/>
      <c r="BV283" s="2"/>
    </row>
    <row r="284" spans="71:74" ht="15.75" customHeight="1" x14ac:dyDescent="0.25">
      <c r="BS284" s="2"/>
      <c r="BT284" s="2"/>
      <c r="BU284" s="2"/>
      <c r="BV284" s="2"/>
    </row>
    <row r="285" spans="71:74" ht="15.75" customHeight="1" x14ac:dyDescent="0.25">
      <c r="BS285" s="2"/>
      <c r="BT285" s="2"/>
      <c r="BU285" s="2"/>
      <c r="BV285" s="2"/>
    </row>
    <row r="286" spans="71:74" ht="15.75" customHeight="1" x14ac:dyDescent="0.25">
      <c r="BS286" s="2"/>
      <c r="BT286" s="2"/>
      <c r="BU286" s="2"/>
      <c r="BV286" s="2"/>
    </row>
    <row r="287" spans="71:74" ht="15.75" customHeight="1" x14ac:dyDescent="0.25">
      <c r="BS287" s="2"/>
      <c r="BT287" s="2"/>
      <c r="BU287" s="2"/>
      <c r="BV287" s="2"/>
    </row>
    <row r="288" spans="71:74" ht="15.75" customHeight="1" x14ac:dyDescent="0.25">
      <c r="BS288" s="2"/>
      <c r="BT288" s="2"/>
      <c r="BU288" s="2"/>
      <c r="BV288" s="2"/>
    </row>
    <row r="289" spans="71:74" ht="15.75" customHeight="1" x14ac:dyDescent="0.25">
      <c r="BS289" s="2"/>
      <c r="BT289" s="2"/>
      <c r="BU289" s="2"/>
      <c r="BV289" s="2"/>
    </row>
    <row r="290" spans="71:74" ht="15.75" customHeight="1" x14ac:dyDescent="0.25">
      <c r="BS290" s="2"/>
      <c r="BT290" s="2"/>
      <c r="BU290" s="2"/>
      <c r="BV290" s="2"/>
    </row>
    <row r="291" spans="71:74" ht="15.75" customHeight="1" x14ac:dyDescent="0.25">
      <c r="BS291" s="2"/>
      <c r="BT291" s="2"/>
      <c r="BU291" s="2"/>
      <c r="BV291" s="2"/>
    </row>
    <row r="292" spans="71:74" ht="15.75" customHeight="1" x14ac:dyDescent="0.25">
      <c r="BS292" s="2"/>
      <c r="BT292" s="2"/>
      <c r="BU292" s="2"/>
      <c r="BV292" s="2"/>
    </row>
    <row r="293" spans="71:74" ht="15.75" customHeight="1" x14ac:dyDescent="0.25">
      <c r="BS293" s="2"/>
      <c r="BT293" s="2"/>
      <c r="BU293" s="2"/>
      <c r="BV293" s="2"/>
    </row>
    <row r="294" spans="71:74" ht="15.75" customHeight="1" x14ac:dyDescent="0.25">
      <c r="BS294" s="2"/>
      <c r="BT294" s="2"/>
      <c r="BU294" s="2"/>
      <c r="BV294" s="2"/>
    </row>
    <row r="295" spans="71:74" ht="15.75" customHeight="1" x14ac:dyDescent="0.25">
      <c r="BS295" s="2"/>
      <c r="BT295" s="2"/>
      <c r="BU295" s="2"/>
      <c r="BV295" s="2"/>
    </row>
    <row r="296" spans="71:74" ht="15.75" customHeight="1" x14ac:dyDescent="0.25">
      <c r="BS296" s="2"/>
      <c r="BT296" s="2"/>
      <c r="BU296" s="2"/>
      <c r="BV296" s="2"/>
    </row>
    <row r="297" spans="71:74" ht="15.75" customHeight="1" x14ac:dyDescent="0.25">
      <c r="BS297" s="2"/>
      <c r="BT297" s="2"/>
      <c r="BU297" s="2"/>
      <c r="BV297" s="2"/>
    </row>
    <row r="298" spans="71:74" ht="15.75" customHeight="1" x14ac:dyDescent="0.25">
      <c r="BS298" s="2"/>
      <c r="BT298" s="2"/>
      <c r="BU298" s="2"/>
      <c r="BV298" s="2"/>
    </row>
    <row r="299" spans="71:74" ht="15.75" customHeight="1" x14ac:dyDescent="0.25">
      <c r="BS299" s="2"/>
      <c r="BT299" s="2"/>
      <c r="BU299" s="2"/>
      <c r="BV299" s="2"/>
    </row>
    <row r="300" spans="71:74" ht="15.75" customHeight="1" x14ac:dyDescent="0.25">
      <c r="BS300" s="2"/>
      <c r="BT300" s="2"/>
      <c r="BU300" s="2"/>
      <c r="BV300" s="2"/>
    </row>
    <row r="301" spans="71:74" ht="15.75" customHeight="1" x14ac:dyDescent="0.25">
      <c r="BS301" s="2"/>
      <c r="BT301" s="2"/>
      <c r="BU301" s="2"/>
      <c r="BV301" s="2"/>
    </row>
    <row r="302" spans="71:74" ht="15.75" customHeight="1" x14ac:dyDescent="0.25">
      <c r="BS302" s="2"/>
      <c r="BT302" s="2"/>
      <c r="BU302" s="2"/>
      <c r="BV302" s="2"/>
    </row>
    <row r="303" spans="71:74" ht="15.75" customHeight="1" x14ac:dyDescent="0.25">
      <c r="BS303" s="2"/>
      <c r="BT303" s="2"/>
      <c r="BU303" s="2"/>
      <c r="BV303" s="2"/>
    </row>
    <row r="304" spans="71:74" ht="15.75" customHeight="1" x14ac:dyDescent="0.25">
      <c r="BS304" s="2"/>
      <c r="BT304" s="2"/>
      <c r="BU304" s="2"/>
      <c r="BV304" s="2"/>
    </row>
    <row r="305" spans="71:74" ht="15.75" customHeight="1" x14ac:dyDescent="0.25">
      <c r="BS305" s="2"/>
      <c r="BT305" s="2"/>
      <c r="BU305" s="2"/>
      <c r="BV305" s="2"/>
    </row>
    <row r="306" spans="71:74" ht="15.75" customHeight="1" x14ac:dyDescent="0.25">
      <c r="BS306" s="2"/>
      <c r="BT306" s="2"/>
      <c r="BU306" s="2"/>
      <c r="BV306" s="2"/>
    </row>
    <row r="307" spans="71:74" ht="15.75" customHeight="1" x14ac:dyDescent="0.25">
      <c r="BS307" s="2"/>
      <c r="BT307" s="2"/>
      <c r="BU307" s="2"/>
      <c r="BV307" s="2"/>
    </row>
    <row r="308" spans="71:74" ht="15.75" customHeight="1" x14ac:dyDescent="0.25">
      <c r="BS308" s="2"/>
      <c r="BT308" s="2"/>
      <c r="BU308" s="2"/>
      <c r="BV308" s="2"/>
    </row>
    <row r="309" spans="71:74" ht="15.75" customHeight="1" x14ac:dyDescent="0.25">
      <c r="BS309" s="2"/>
      <c r="BT309" s="2"/>
      <c r="BU309" s="2"/>
      <c r="BV309" s="2"/>
    </row>
    <row r="310" spans="71:74" ht="15.75" customHeight="1" x14ac:dyDescent="0.25">
      <c r="BS310" s="2"/>
      <c r="BT310" s="2"/>
      <c r="BU310" s="2"/>
      <c r="BV310" s="2"/>
    </row>
    <row r="311" spans="71:74" ht="15.75" customHeight="1" x14ac:dyDescent="0.25">
      <c r="BS311" s="2"/>
      <c r="BT311" s="2"/>
      <c r="BU311" s="2"/>
      <c r="BV311" s="2"/>
    </row>
    <row r="312" spans="71:74" ht="15.75" customHeight="1" x14ac:dyDescent="0.25">
      <c r="BS312" s="2"/>
      <c r="BT312" s="2"/>
      <c r="BU312" s="2"/>
      <c r="BV312" s="2"/>
    </row>
    <row r="313" spans="71:74" ht="15.75" customHeight="1" x14ac:dyDescent="0.25">
      <c r="BS313" s="2"/>
      <c r="BT313" s="2"/>
      <c r="BU313" s="2"/>
      <c r="BV313" s="2"/>
    </row>
    <row r="314" spans="71:74" ht="15.75" customHeight="1" x14ac:dyDescent="0.25">
      <c r="BS314" s="2"/>
      <c r="BT314" s="2"/>
      <c r="BU314" s="2"/>
      <c r="BV314" s="2"/>
    </row>
    <row r="315" spans="71:74" ht="15.75" customHeight="1" x14ac:dyDescent="0.25">
      <c r="BS315" s="2"/>
      <c r="BT315" s="2"/>
      <c r="BU315" s="2"/>
      <c r="BV315" s="2"/>
    </row>
    <row r="316" spans="71:74" ht="15.75" customHeight="1" x14ac:dyDescent="0.25">
      <c r="BS316" s="2"/>
      <c r="BT316" s="2"/>
      <c r="BU316" s="2"/>
      <c r="BV316" s="2"/>
    </row>
    <row r="317" spans="71:74" ht="15.75" customHeight="1" x14ac:dyDescent="0.25">
      <c r="BS317" s="2"/>
      <c r="BT317" s="2"/>
      <c r="BU317" s="2"/>
      <c r="BV317" s="2"/>
    </row>
    <row r="318" spans="71:74" ht="15.75" customHeight="1" x14ac:dyDescent="0.25">
      <c r="BS318" s="2"/>
      <c r="BT318" s="2"/>
      <c r="BU318" s="2"/>
      <c r="BV318" s="2"/>
    </row>
    <row r="319" spans="71:74" ht="15.75" customHeight="1" x14ac:dyDescent="0.25">
      <c r="BS319" s="2"/>
      <c r="BT319" s="2"/>
      <c r="BU319" s="2"/>
      <c r="BV319" s="2"/>
    </row>
    <row r="320" spans="71:74" ht="15.75" customHeight="1" x14ac:dyDescent="0.25">
      <c r="BS320" s="2"/>
      <c r="BT320" s="2"/>
      <c r="BU320" s="2"/>
      <c r="BV320" s="2"/>
    </row>
    <row r="321" spans="71:74" ht="15.75" customHeight="1" x14ac:dyDescent="0.25">
      <c r="BS321" s="2"/>
      <c r="BT321" s="2"/>
      <c r="BU321" s="2"/>
      <c r="BV321" s="2"/>
    </row>
    <row r="322" spans="71:74" ht="15.75" customHeight="1" x14ac:dyDescent="0.25">
      <c r="BS322" s="2"/>
      <c r="BT322" s="2"/>
      <c r="BU322" s="2"/>
      <c r="BV322" s="2"/>
    </row>
    <row r="323" spans="71:74" ht="15.75" customHeight="1" x14ac:dyDescent="0.25">
      <c r="BS323" s="2"/>
      <c r="BT323" s="2"/>
      <c r="BU323" s="2"/>
      <c r="BV323" s="2"/>
    </row>
    <row r="324" spans="71:74" ht="15.75" customHeight="1" x14ac:dyDescent="0.25">
      <c r="BS324" s="2"/>
      <c r="BT324" s="2"/>
      <c r="BU324" s="2"/>
      <c r="BV324" s="2"/>
    </row>
    <row r="325" spans="71:74" ht="15.75" customHeight="1" x14ac:dyDescent="0.25">
      <c r="BS325" s="2"/>
      <c r="BT325" s="2"/>
      <c r="BU325" s="2"/>
      <c r="BV325" s="2"/>
    </row>
    <row r="326" spans="71:74" ht="15.75" customHeight="1" x14ac:dyDescent="0.25">
      <c r="BS326" s="2"/>
      <c r="BT326" s="2"/>
      <c r="BU326" s="2"/>
      <c r="BV326" s="2"/>
    </row>
    <row r="327" spans="71:74" ht="15.75" customHeight="1" x14ac:dyDescent="0.25">
      <c r="BS327" s="2"/>
      <c r="BT327" s="2"/>
      <c r="BU327" s="2"/>
      <c r="BV327" s="2"/>
    </row>
    <row r="328" spans="71:74" ht="15.75" customHeight="1" x14ac:dyDescent="0.25">
      <c r="BS328" s="2"/>
      <c r="BT328" s="2"/>
      <c r="BU328" s="2"/>
      <c r="BV328" s="2"/>
    </row>
    <row r="329" spans="71:74" ht="15.75" customHeight="1" x14ac:dyDescent="0.25">
      <c r="BS329" s="2"/>
      <c r="BT329" s="2"/>
      <c r="BU329" s="2"/>
      <c r="BV329" s="2"/>
    </row>
    <row r="330" spans="71:74" ht="15.75" customHeight="1" x14ac:dyDescent="0.25">
      <c r="BS330" s="2"/>
      <c r="BT330" s="2"/>
      <c r="BU330" s="2"/>
      <c r="BV330" s="2"/>
    </row>
    <row r="331" spans="71:74" ht="15.75" customHeight="1" x14ac:dyDescent="0.25">
      <c r="BS331" s="2"/>
      <c r="BT331" s="2"/>
      <c r="BU331" s="2"/>
      <c r="BV331" s="2"/>
    </row>
    <row r="332" spans="71:74" ht="15.75" customHeight="1" x14ac:dyDescent="0.25">
      <c r="BS332" s="2"/>
      <c r="BT332" s="2"/>
      <c r="BU332" s="2"/>
      <c r="BV332" s="2"/>
    </row>
    <row r="333" spans="71:74" ht="15.75" customHeight="1" x14ac:dyDescent="0.25">
      <c r="BS333" s="2"/>
      <c r="BT333" s="2"/>
      <c r="BU333" s="2"/>
      <c r="BV333" s="2"/>
    </row>
    <row r="334" spans="71:74" ht="15.75" customHeight="1" x14ac:dyDescent="0.25">
      <c r="BS334" s="2"/>
      <c r="BT334" s="2"/>
      <c r="BU334" s="2"/>
      <c r="BV334" s="2"/>
    </row>
    <row r="335" spans="71:74" ht="15.75" customHeight="1" x14ac:dyDescent="0.25">
      <c r="BS335" s="2"/>
      <c r="BT335" s="2"/>
      <c r="BU335" s="2"/>
      <c r="BV335" s="2"/>
    </row>
    <row r="336" spans="71:74" ht="15.75" customHeight="1" x14ac:dyDescent="0.25">
      <c r="BS336" s="2"/>
      <c r="BT336" s="2"/>
      <c r="BU336" s="2"/>
      <c r="BV336" s="2"/>
    </row>
    <row r="337" spans="71:74" ht="15.75" customHeight="1" x14ac:dyDescent="0.25">
      <c r="BS337" s="2"/>
      <c r="BT337" s="2"/>
      <c r="BU337" s="2"/>
      <c r="BV337" s="2"/>
    </row>
    <row r="338" spans="71:74" ht="15.75" customHeight="1" x14ac:dyDescent="0.25">
      <c r="BS338" s="2"/>
      <c r="BT338" s="2"/>
      <c r="BU338" s="2"/>
      <c r="BV338" s="2"/>
    </row>
    <row r="339" spans="71:74" ht="15.75" customHeight="1" x14ac:dyDescent="0.25">
      <c r="BS339" s="2"/>
      <c r="BT339" s="2"/>
      <c r="BU339" s="2"/>
      <c r="BV339" s="2"/>
    </row>
    <row r="340" spans="71:74" ht="15.75" customHeight="1" x14ac:dyDescent="0.25">
      <c r="BS340" s="2"/>
      <c r="BT340" s="2"/>
      <c r="BU340" s="2"/>
      <c r="BV340" s="2"/>
    </row>
    <row r="341" spans="71:74" ht="15.75" customHeight="1" x14ac:dyDescent="0.25">
      <c r="BS341" s="2"/>
      <c r="BT341" s="2"/>
      <c r="BU341" s="2"/>
      <c r="BV341" s="2"/>
    </row>
    <row r="342" spans="71:74" ht="15.75" customHeight="1" x14ac:dyDescent="0.25">
      <c r="BS342" s="2"/>
      <c r="BT342" s="2"/>
      <c r="BU342" s="2"/>
      <c r="BV342" s="2"/>
    </row>
    <row r="343" spans="71:74" ht="15.75" customHeight="1" x14ac:dyDescent="0.25">
      <c r="BS343" s="2"/>
      <c r="BT343" s="2"/>
      <c r="BU343" s="2"/>
      <c r="BV343" s="2"/>
    </row>
    <row r="344" spans="71:74" ht="15.75" customHeight="1" x14ac:dyDescent="0.25">
      <c r="BS344" s="2"/>
      <c r="BT344" s="2"/>
      <c r="BU344" s="2"/>
      <c r="BV344" s="2"/>
    </row>
    <row r="345" spans="71:74" ht="15.75" customHeight="1" x14ac:dyDescent="0.25">
      <c r="BS345" s="2"/>
      <c r="BT345" s="2"/>
      <c r="BU345" s="2"/>
      <c r="BV345" s="2"/>
    </row>
    <row r="346" spans="71:74" ht="15.75" customHeight="1" x14ac:dyDescent="0.25">
      <c r="BS346" s="2"/>
      <c r="BT346" s="2"/>
      <c r="BU346" s="2"/>
      <c r="BV346" s="2"/>
    </row>
    <row r="347" spans="71:74" ht="15.75" customHeight="1" x14ac:dyDescent="0.25">
      <c r="BS347" s="2"/>
      <c r="BT347" s="2"/>
      <c r="BU347" s="2"/>
      <c r="BV347" s="2"/>
    </row>
    <row r="348" spans="71:74" ht="15.75" customHeight="1" x14ac:dyDescent="0.25">
      <c r="BS348" s="2"/>
      <c r="BT348" s="2"/>
      <c r="BU348" s="2"/>
      <c r="BV348" s="2"/>
    </row>
    <row r="349" spans="71:74" ht="15.75" customHeight="1" x14ac:dyDescent="0.25">
      <c r="BS349" s="2"/>
      <c r="BT349" s="2"/>
      <c r="BU349" s="2"/>
      <c r="BV349" s="2"/>
    </row>
    <row r="350" spans="71:74" ht="15.75" customHeight="1" x14ac:dyDescent="0.25">
      <c r="BS350" s="2"/>
      <c r="BT350" s="2"/>
      <c r="BU350" s="2"/>
      <c r="BV350" s="2"/>
    </row>
    <row r="351" spans="71:74" ht="15.75" customHeight="1" x14ac:dyDescent="0.25">
      <c r="BS351" s="2"/>
      <c r="BT351" s="2"/>
      <c r="BU351" s="2"/>
      <c r="BV351" s="2"/>
    </row>
    <row r="352" spans="71:74" ht="15.75" customHeight="1" x14ac:dyDescent="0.25">
      <c r="BS352" s="2"/>
      <c r="BT352" s="2"/>
      <c r="BU352" s="2"/>
      <c r="BV352" s="2"/>
    </row>
    <row r="353" spans="71:74" ht="15.75" customHeight="1" x14ac:dyDescent="0.25">
      <c r="BS353" s="2"/>
      <c r="BT353" s="2"/>
      <c r="BU353" s="2"/>
      <c r="BV353" s="2"/>
    </row>
    <row r="354" spans="71:74" ht="15.75" customHeight="1" x14ac:dyDescent="0.25">
      <c r="BS354" s="2"/>
      <c r="BT354" s="2"/>
      <c r="BU354" s="2"/>
      <c r="BV354" s="2"/>
    </row>
    <row r="355" spans="71:74" ht="15.75" customHeight="1" x14ac:dyDescent="0.25">
      <c r="BS355" s="2"/>
      <c r="BT355" s="2"/>
      <c r="BU355" s="2"/>
      <c r="BV355" s="2"/>
    </row>
    <row r="356" spans="71:74" ht="15.75" customHeight="1" x14ac:dyDescent="0.25">
      <c r="BS356" s="2"/>
      <c r="BT356" s="2"/>
      <c r="BU356" s="2"/>
      <c r="BV356" s="2"/>
    </row>
    <row r="357" spans="71:74" ht="15.75" customHeight="1" x14ac:dyDescent="0.25">
      <c r="BS357" s="2"/>
      <c r="BT357" s="2"/>
      <c r="BU357" s="2"/>
      <c r="BV357" s="2"/>
    </row>
    <row r="358" spans="71:74" ht="15.75" customHeight="1" x14ac:dyDescent="0.25">
      <c r="BS358" s="2"/>
      <c r="BT358" s="2"/>
      <c r="BU358" s="2"/>
      <c r="BV358" s="2"/>
    </row>
    <row r="359" spans="71:74" ht="15.75" customHeight="1" x14ac:dyDescent="0.25">
      <c r="BS359" s="2"/>
      <c r="BT359" s="2"/>
      <c r="BU359" s="2"/>
      <c r="BV359" s="2"/>
    </row>
    <row r="360" spans="71:74" ht="15.75" customHeight="1" x14ac:dyDescent="0.25">
      <c r="BS360" s="2"/>
      <c r="BT360" s="2"/>
      <c r="BU360" s="2"/>
      <c r="BV360" s="2"/>
    </row>
    <row r="361" spans="71:74" ht="15.75" customHeight="1" x14ac:dyDescent="0.25">
      <c r="BS361" s="2"/>
      <c r="BT361" s="2"/>
      <c r="BU361" s="2"/>
      <c r="BV361" s="2"/>
    </row>
    <row r="362" spans="71:74" ht="15.75" customHeight="1" x14ac:dyDescent="0.25">
      <c r="BS362" s="2"/>
      <c r="BT362" s="2"/>
      <c r="BU362" s="2"/>
      <c r="BV362" s="2"/>
    </row>
    <row r="363" spans="71:74" ht="15.75" customHeight="1" x14ac:dyDescent="0.25">
      <c r="BS363" s="2"/>
      <c r="BT363" s="2"/>
      <c r="BU363" s="2"/>
      <c r="BV363" s="2"/>
    </row>
    <row r="364" spans="71:74" ht="15.75" customHeight="1" x14ac:dyDescent="0.25">
      <c r="BS364" s="2"/>
      <c r="BT364" s="2"/>
      <c r="BU364" s="2"/>
      <c r="BV364" s="2"/>
    </row>
    <row r="365" spans="71:74" ht="15.75" customHeight="1" x14ac:dyDescent="0.25">
      <c r="BS365" s="2"/>
      <c r="BT365" s="2"/>
      <c r="BU365" s="2"/>
      <c r="BV365" s="2"/>
    </row>
    <row r="366" spans="71:74" ht="15.75" customHeight="1" x14ac:dyDescent="0.25">
      <c r="BS366" s="2"/>
      <c r="BT366" s="2"/>
      <c r="BU366" s="2"/>
      <c r="BV366" s="2"/>
    </row>
    <row r="367" spans="71:74" ht="15.75" customHeight="1" x14ac:dyDescent="0.25">
      <c r="BS367" s="2"/>
      <c r="BT367" s="2"/>
      <c r="BU367" s="2"/>
      <c r="BV367" s="2"/>
    </row>
    <row r="368" spans="71:74" ht="15.75" customHeight="1" x14ac:dyDescent="0.25">
      <c r="BS368" s="2"/>
      <c r="BT368" s="2"/>
      <c r="BU368" s="2"/>
      <c r="BV368" s="2"/>
    </row>
    <row r="369" spans="71:74" ht="15.75" customHeight="1" x14ac:dyDescent="0.25">
      <c r="BS369" s="2"/>
      <c r="BT369" s="2"/>
      <c r="BU369" s="2"/>
      <c r="BV369" s="2"/>
    </row>
    <row r="370" spans="71:74" ht="15.75" customHeight="1" x14ac:dyDescent="0.25">
      <c r="BS370" s="2"/>
      <c r="BT370" s="2"/>
      <c r="BU370" s="2"/>
      <c r="BV370" s="2"/>
    </row>
    <row r="371" spans="71:74" ht="15.75" customHeight="1" x14ac:dyDescent="0.25">
      <c r="BS371" s="2"/>
      <c r="BT371" s="2"/>
      <c r="BU371" s="2"/>
      <c r="BV371" s="2"/>
    </row>
    <row r="372" spans="71:74" ht="15.75" customHeight="1" x14ac:dyDescent="0.25">
      <c r="BS372" s="2"/>
      <c r="BT372" s="2"/>
      <c r="BU372" s="2"/>
      <c r="BV372" s="2"/>
    </row>
    <row r="373" spans="71:74" ht="15.75" customHeight="1" x14ac:dyDescent="0.25">
      <c r="BS373" s="2"/>
      <c r="BT373" s="2"/>
      <c r="BU373" s="2"/>
      <c r="BV373" s="2"/>
    </row>
    <row r="374" spans="71:74" ht="15.75" customHeight="1" x14ac:dyDescent="0.25">
      <c r="BS374" s="2"/>
      <c r="BT374" s="2"/>
      <c r="BU374" s="2"/>
      <c r="BV374" s="2"/>
    </row>
    <row r="375" spans="71:74" ht="15.75" customHeight="1" x14ac:dyDescent="0.25">
      <c r="BS375" s="2"/>
      <c r="BT375" s="2"/>
      <c r="BU375" s="2"/>
      <c r="BV375" s="2"/>
    </row>
    <row r="376" spans="71:74" ht="15.75" customHeight="1" x14ac:dyDescent="0.25">
      <c r="BS376" s="2"/>
      <c r="BT376" s="2"/>
      <c r="BU376" s="2"/>
      <c r="BV376" s="2"/>
    </row>
    <row r="377" spans="71:74" ht="15.75" customHeight="1" x14ac:dyDescent="0.25">
      <c r="BS377" s="2"/>
      <c r="BT377" s="2"/>
      <c r="BU377" s="2"/>
      <c r="BV377" s="2"/>
    </row>
    <row r="378" spans="71:74" ht="15.75" customHeight="1" x14ac:dyDescent="0.25">
      <c r="BS378" s="2"/>
      <c r="BT378" s="2"/>
      <c r="BU378" s="2"/>
      <c r="BV378" s="2"/>
    </row>
    <row r="379" spans="71:74" ht="15.75" customHeight="1" x14ac:dyDescent="0.25">
      <c r="BS379" s="2"/>
      <c r="BT379" s="2"/>
      <c r="BU379" s="2"/>
      <c r="BV379" s="2"/>
    </row>
    <row r="380" spans="71:74" ht="15.75" customHeight="1" x14ac:dyDescent="0.25">
      <c r="BS380" s="2"/>
      <c r="BT380" s="2"/>
      <c r="BU380" s="2"/>
      <c r="BV380" s="2"/>
    </row>
    <row r="381" spans="71:74" ht="15.75" customHeight="1" x14ac:dyDescent="0.25">
      <c r="BS381" s="2"/>
      <c r="BT381" s="2"/>
      <c r="BU381" s="2"/>
      <c r="BV381" s="2"/>
    </row>
    <row r="382" spans="71:74" ht="15.75" customHeight="1" x14ac:dyDescent="0.25">
      <c r="BS382" s="2"/>
      <c r="BT382" s="2"/>
      <c r="BU382" s="2"/>
      <c r="BV382" s="2"/>
    </row>
    <row r="383" spans="71:74" ht="15.75" customHeight="1" x14ac:dyDescent="0.25">
      <c r="BS383" s="2"/>
      <c r="BT383" s="2"/>
      <c r="BU383" s="2"/>
      <c r="BV383" s="2"/>
    </row>
    <row r="384" spans="71:74" ht="15.75" customHeight="1" x14ac:dyDescent="0.25">
      <c r="BS384" s="2"/>
      <c r="BT384" s="2"/>
      <c r="BU384" s="2"/>
      <c r="BV384" s="2"/>
    </row>
    <row r="385" spans="71:74" ht="15.75" customHeight="1" x14ac:dyDescent="0.25">
      <c r="BS385" s="2"/>
      <c r="BT385" s="2"/>
      <c r="BU385" s="2"/>
      <c r="BV385" s="2"/>
    </row>
    <row r="386" spans="71:74" ht="15.75" customHeight="1" x14ac:dyDescent="0.25">
      <c r="BS386" s="2"/>
      <c r="BT386" s="2"/>
      <c r="BU386" s="2"/>
      <c r="BV386" s="2"/>
    </row>
    <row r="387" spans="71:74" ht="15.75" customHeight="1" x14ac:dyDescent="0.25">
      <c r="BS387" s="2"/>
      <c r="BT387" s="2"/>
      <c r="BU387" s="2"/>
      <c r="BV387" s="2"/>
    </row>
    <row r="388" spans="71:74" ht="15.75" customHeight="1" x14ac:dyDescent="0.25">
      <c r="BS388" s="2"/>
      <c r="BT388" s="2"/>
      <c r="BU388" s="2"/>
      <c r="BV388" s="2"/>
    </row>
    <row r="389" spans="71:74" ht="15.75" customHeight="1" x14ac:dyDescent="0.25">
      <c r="BS389" s="2"/>
      <c r="BT389" s="2"/>
      <c r="BU389" s="2"/>
      <c r="BV389" s="2"/>
    </row>
    <row r="390" spans="71:74" ht="15.75" customHeight="1" x14ac:dyDescent="0.25">
      <c r="BS390" s="2"/>
      <c r="BT390" s="2"/>
      <c r="BU390" s="2"/>
      <c r="BV390" s="2"/>
    </row>
    <row r="391" spans="71:74" ht="15.75" customHeight="1" x14ac:dyDescent="0.25">
      <c r="BS391" s="2"/>
      <c r="BT391" s="2"/>
      <c r="BU391" s="2"/>
      <c r="BV391" s="2"/>
    </row>
    <row r="392" spans="71:74" ht="15.75" customHeight="1" x14ac:dyDescent="0.25">
      <c r="BS392" s="2"/>
      <c r="BT392" s="2"/>
      <c r="BU392" s="2"/>
      <c r="BV392" s="2"/>
    </row>
    <row r="393" spans="71:74" ht="15.75" customHeight="1" x14ac:dyDescent="0.25">
      <c r="BS393" s="2"/>
      <c r="BT393" s="2"/>
      <c r="BU393" s="2"/>
      <c r="BV393" s="2"/>
    </row>
    <row r="394" spans="71:74" ht="15.75" customHeight="1" x14ac:dyDescent="0.25">
      <c r="BS394" s="2"/>
      <c r="BT394" s="2"/>
      <c r="BU394" s="2"/>
      <c r="BV394" s="2"/>
    </row>
    <row r="395" spans="71:74" ht="15.75" customHeight="1" x14ac:dyDescent="0.25">
      <c r="BS395" s="2"/>
      <c r="BT395" s="2"/>
      <c r="BU395" s="2"/>
      <c r="BV395" s="2"/>
    </row>
    <row r="396" spans="71:74" ht="15.75" customHeight="1" x14ac:dyDescent="0.25">
      <c r="BS396" s="2"/>
      <c r="BT396" s="2"/>
      <c r="BU396" s="2"/>
      <c r="BV396" s="2"/>
    </row>
    <row r="397" spans="71:74" ht="15.75" customHeight="1" x14ac:dyDescent="0.25">
      <c r="BS397" s="2"/>
      <c r="BT397" s="2"/>
      <c r="BU397" s="2"/>
      <c r="BV397" s="2"/>
    </row>
    <row r="398" spans="71:74" ht="15.75" customHeight="1" x14ac:dyDescent="0.25">
      <c r="BS398" s="2"/>
      <c r="BT398" s="2"/>
      <c r="BU398" s="2"/>
      <c r="BV398" s="2"/>
    </row>
    <row r="399" spans="71:74" ht="15.75" customHeight="1" x14ac:dyDescent="0.25">
      <c r="BS399" s="2"/>
      <c r="BT399" s="2"/>
      <c r="BU399" s="2"/>
      <c r="BV399" s="2"/>
    </row>
    <row r="400" spans="71:74" ht="15.75" customHeight="1" x14ac:dyDescent="0.25">
      <c r="BS400" s="2"/>
      <c r="BT400" s="2"/>
      <c r="BU400" s="2"/>
      <c r="BV400" s="2"/>
    </row>
    <row r="401" spans="71:74" ht="15.75" customHeight="1" x14ac:dyDescent="0.25">
      <c r="BS401" s="2"/>
      <c r="BT401" s="2"/>
      <c r="BU401" s="2"/>
      <c r="BV401" s="2"/>
    </row>
    <row r="402" spans="71:74" ht="15.75" customHeight="1" x14ac:dyDescent="0.25">
      <c r="BS402" s="2"/>
      <c r="BT402" s="2"/>
      <c r="BU402" s="2"/>
      <c r="BV402" s="2"/>
    </row>
    <row r="403" spans="71:74" ht="15.75" customHeight="1" x14ac:dyDescent="0.25">
      <c r="BS403" s="2"/>
      <c r="BT403" s="2"/>
      <c r="BU403" s="2"/>
      <c r="BV403" s="2"/>
    </row>
    <row r="404" spans="71:74" ht="15.75" customHeight="1" x14ac:dyDescent="0.25">
      <c r="BS404" s="2"/>
      <c r="BT404" s="2"/>
      <c r="BU404" s="2"/>
      <c r="BV404" s="2"/>
    </row>
    <row r="405" spans="71:74" ht="15.75" customHeight="1" x14ac:dyDescent="0.25">
      <c r="BS405" s="2"/>
      <c r="BT405" s="2"/>
      <c r="BU405" s="2"/>
      <c r="BV405" s="2"/>
    </row>
    <row r="406" spans="71:74" ht="15.75" customHeight="1" x14ac:dyDescent="0.25">
      <c r="BS406" s="2"/>
      <c r="BT406" s="2"/>
      <c r="BU406" s="2"/>
      <c r="BV406" s="2"/>
    </row>
    <row r="407" spans="71:74" ht="15.75" customHeight="1" x14ac:dyDescent="0.25">
      <c r="BS407" s="2"/>
      <c r="BT407" s="2"/>
      <c r="BU407" s="2"/>
      <c r="BV407" s="2"/>
    </row>
    <row r="408" spans="71:74" ht="15.75" customHeight="1" x14ac:dyDescent="0.25">
      <c r="BS408" s="2"/>
      <c r="BT408" s="2"/>
      <c r="BU408" s="2"/>
      <c r="BV408" s="2"/>
    </row>
    <row r="409" spans="71:74" ht="15.75" customHeight="1" x14ac:dyDescent="0.25">
      <c r="BS409" s="2"/>
      <c r="BT409" s="2"/>
      <c r="BU409" s="2"/>
      <c r="BV409" s="2"/>
    </row>
    <row r="410" spans="71:74" ht="15.75" customHeight="1" x14ac:dyDescent="0.25">
      <c r="BS410" s="2"/>
      <c r="BT410" s="2"/>
      <c r="BU410" s="2"/>
      <c r="BV410" s="2"/>
    </row>
    <row r="411" spans="71:74" ht="15.75" customHeight="1" x14ac:dyDescent="0.25">
      <c r="BS411" s="2"/>
      <c r="BT411" s="2"/>
      <c r="BU411" s="2"/>
      <c r="BV411" s="2"/>
    </row>
    <row r="412" spans="71:74" ht="15.75" customHeight="1" x14ac:dyDescent="0.25">
      <c r="BS412" s="2"/>
      <c r="BT412" s="2"/>
      <c r="BU412" s="2"/>
      <c r="BV412" s="2"/>
    </row>
    <row r="413" spans="71:74" ht="15.75" customHeight="1" x14ac:dyDescent="0.25">
      <c r="BS413" s="2"/>
      <c r="BT413" s="2"/>
      <c r="BU413" s="2"/>
      <c r="BV413" s="2"/>
    </row>
    <row r="414" spans="71:74" ht="15.75" customHeight="1" x14ac:dyDescent="0.25">
      <c r="BS414" s="2"/>
      <c r="BT414" s="2"/>
      <c r="BU414" s="2"/>
      <c r="BV414" s="2"/>
    </row>
    <row r="415" spans="71:74" ht="15.75" customHeight="1" x14ac:dyDescent="0.25">
      <c r="BS415" s="2"/>
      <c r="BT415" s="2"/>
      <c r="BU415" s="2"/>
      <c r="BV415" s="2"/>
    </row>
    <row r="416" spans="71:74" ht="15.75" customHeight="1" x14ac:dyDescent="0.25">
      <c r="BS416" s="2"/>
      <c r="BT416" s="2"/>
      <c r="BU416" s="2"/>
      <c r="BV416" s="2"/>
    </row>
    <row r="417" spans="71:74" ht="15.75" customHeight="1" x14ac:dyDescent="0.25">
      <c r="BS417" s="2"/>
      <c r="BT417" s="2"/>
      <c r="BU417" s="2"/>
      <c r="BV417" s="2"/>
    </row>
    <row r="418" spans="71:74" ht="15.75" customHeight="1" x14ac:dyDescent="0.25">
      <c r="BS418" s="2"/>
      <c r="BT418" s="2"/>
      <c r="BU418" s="2"/>
      <c r="BV418" s="2"/>
    </row>
    <row r="419" spans="71:74" ht="15.75" customHeight="1" x14ac:dyDescent="0.25">
      <c r="BS419" s="2"/>
      <c r="BT419" s="2"/>
      <c r="BU419" s="2"/>
      <c r="BV419" s="2"/>
    </row>
    <row r="420" spans="71:74" ht="15.75" customHeight="1" x14ac:dyDescent="0.25">
      <c r="BS420" s="2"/>
      <c r="BT420" s="2"/>
      <c r="BU420" s="2"/>
      <c r="BV420" s="2"/>
    </row>
    <row r="421" spans="71:74" ht="15.75" customHeight="1" x14ac:dyDescent="0.25">
      <c r="BS421" s="2"/>
      <c r="BT421" s="2"/>
      <c r="BU421" s="2"/>
      <c r="BV421" s="2"/>
    </row>
    <row r="422" spans="71:74" ht="15.75" customHeight="1" x14ac:dyDescent="0.25">
      <c r="BS422" s="2"/>
      <c r="BT422" s="2"/>
      <c r="BU422" s="2"/>
      <c r="BV422" s="2"/>
    </row>
    <row r="423" spans="71:74" ht="15.75" customHeight="1" x14ac:dyDescent="0.25">
      <c r="BS423" s="2"/>
      <c r="BT423" s="2"/>
      <c r="BU423" s="2"/>
      <c r="BV423" s="2"/>
    </row>
    <row r="424" spans="71:74" ht="15.75" customHeight="1" x14ac:dyDescent="0.25">
      <c r="BS424" s="2"/>
      <c r="BT424" s="2"/>
      <c r="BU424" s="2"/>
      <c r="BV424" s="2"/>
    </row>
    <row r="425" spans="71:74" ht="15.75" customHeight="1" x14ac:dyDescent="0.25">
      <c r="BS425" s="2"/>
      <c r="BT425" s="2"/>
      <c r="BU425" s="2"/>
      <c r="BV425" s="2"/>
    </row>
    <row r="426" spans="71:74" ht="15.75" customHeight="1" x14ac:dyDescent="0.25">
      <c r="BS426" s="2"/>
      <c r="BT426" s="2"/>
      <c r="BU426" s="2"/>
      <c r="BV426" s="2"/>
    </row>
    <row r="427" spans="71:74" ht="15.75" customHeight="1" x14ac:dyDescent="0.25">
      <c r="BS427" s="2"/>
      <c r="BT427" s="2"/>
      <c r="BU427" s="2"/>
      <c r="BV427" s="2"/>
    </row>
    <row r="428" spans="71:74" ht="15.75" customHeight="1" x14ac:dyDescent="0.25">
      <c r="BS428" s="2"/>
      <c r="BT428" s="2"/>
      <c r="BU428" s="2"/>
      <c r="BV428" s="2"/>
    </row>
    <row r="429" spans="71:74" ht="15.75" customHeight="1" x14ac:dyDescent="0.25">
      <c r="BS429" s="2"/>
      <c r="BT429" s="2"/>
      <c r="BU429" s="2"/>
      <c r="BV429" s="2"/>
    </row>
    <row r="430" spans="71:74" ht="15.75" customHeight="1" x14ac:dyDescent="0.25">
      <c r="BS430" s="2"/>
      <c r="BT430" s="2"/>
      <c r="BU430" s="2"/>
      <c r="BV430" s="2"/>
    </row>
    <row r="431" spans="71:74" ht="15.75" customHeight="1" x14ac:dyDescent="0.25">
      <c r="BS431" s="2"/>
      <c r="BT431" s="2"/>
      <c r="BU431" s="2"/>
      <c r="BV431" s="2"/>
    </row>
    <row r="432" spans="71:74" ht="15.75" customHeight="1" x14ac:dyDescent="0.25">
      <c r="BS432" s="2"/>
      <c r="BT432" s="2"/>
      <c r="BU432" s="2"/>
      <c r="BV432" s="2"/>
    </row>
    <row r="433" spans="71:74" ht="15.75" customHeight="1" x14ac:dyDescent="0.25">
      <c r="BS433" s="2"/>
      <c r="BT433" s="2"/>
      <c r="BU433" s="2"/>
      <c r="BV433" s="2"/>
    </row>
    <row r="434" spans="71:74" ht="15.75" customHeight="1" x14ac:dyDescent="0.25">
      <c r="BS434" s="2"/>
      <c r="BT434" s="2"/>
      <c r="BU434" s="2"/>
      <c r="BV434" s="2"/>
    </row>
    <row r="435" spans="71:74" ht="15.75" customHeight="1" x14ac:dyDescent="0.25">
      <c r="BS435" s="2"/>
      <c r="BT435" s="2"/>
      <c r="BU435" s="2"/>
      <c r="BV435" s="2"/>
    </row>
    <row r="436" spans="71:74" ht="15.75" customHeight="1" x14ac:dyDescent="0.25">
      <c r="BS436" s="2"/>
      <c r="BT436" s="2"/>
      <c r="BU436" s="2"/>
      <c r="BV436" s="2"/>
    </row>
    <row r="437" spans="71:74" ht="15.75" customHeight="1" x14ac:dyDescent="0.25">
      <c r="BS437" s="2"/>
      <c r="BT437" s="2"/>
      <c r="BU437" s="2"/>
      <c r="BV437" s="2"/>
    </row>
    <row r="438" spans="71:74" ht="15.75" customHeight="1" x14ac:dyDescent="0.25">
      <c r="BS438" s="2"/>
      <c r="BT438" s="2"/>
      <c r="BU438" s="2"/>
      <c r="BV438" s="2"/>
    </row>
    <row r="439" spans="71:74" ht="15.75" customHeight="1" x14ac:dyDescent="0.25">
      <c r="BS439" s="2"/>
      <c r="BT439" s="2"/>
      <c r="BU439" s="2"/>
      <c r="BV439" s="2"/>
    </row>
    <row r="440" spans="71:74" ht="15.75" customHeight="1" x14ac:dyDescent="0.25">
      <c r="BS440" s="2"/>
      <c r="BT440" s="2"/>
      <c r="BU440" s="2"/>
      <c r="BV440" s="2"/>
    </row>
    <row r="441" spans="71:74" ht="15.75" customHeight="1" x14ac:dyDescent="0.25">
      <c r="BS441" s="2"/>
      <c r="BT441" s="2"/>
      <c r="BU441" s="2"/>
      <c r="BV441" s="2"/>
    </row>
    <row r="442" spans="71:74" ht="15.75" customHeight="1" x14ac:dyDescent="0.25">
      <c r="BS442" s="2"/>
      <c r="BT442" s="2"/>
      <c r="BU442" s="2"/>
      <c r="BV442" s="2"/>
    </row>
    <row r="443" spans="71:74" ht="15.75" customHeight="1" x14ac:dyDescent="0.25">
      <c r="BS443" s="2"/>
      <c r="BT443" s="2"/>
      <c r="BU443" s="2"/>
      <c r="BV443" s="2"/>
    </row>
    <row r="444" spans="71:74" ht="15.75" customHeight="1" x14ac:dyDescent="0.25">
      <c r="BS444" s="2"/>
      <c r="BT444" s="2"/>
      <c r="BU444" s="2"/>
      <c r="BV444" s="2"/>
    </row>
    <row r="445" spans="71:74" ht="15.75" customHeight="1" x14ac:dyDescent="0.25">
      <c r="BS445" s="2"/>
      <c r="BT445" s="2"/>
      <c r="BU445" s="2"/>
      <c r="BV445" s="2"/>
    </row>
    <row r="446" spans="71:74" ht="15.75" customHeight="1" x14ac:dyDescent="0.25">
      <c r="BS446" s="2"/>
      <c r="BT446" s="2"/>
      <c r="BU446" s="2"/>
      <c r="BV446" s="2"/>
    </row>
    <row r="447" spans="71:74" ht="15.75" customHeight="1" x14ac:dyDescent="0.25">
      <c r="BS447" s="2"/>
      <c r="BT447" s="2"/>
      <c r="BU447" s="2"/>
      <c r="BV447" s="2"/>
    </row>
    <row r="448" spans="71:74" ht="15.75" customHeight="1" x14ac:dyDescent="0.25">
      <c r="BS448" s="2"/>
      <c r="BT448" s="2"/>
      <c r="BU448" s="2"/>
      <c r="BV448" s="2"/>
    </row>
    <row r="449" spans="71:74" ht="15.75" customHeight="1" x14ac:dyDescent="0.25">
      <c r="BS449" s="2"/>
      <c r="BT449" s="2"/>
      <c r="BU449" s="2"/>
      <c r="BV449" s="2"/>
    </row>
    <row r="450" spans="71:74" ht="15.75" customHeight="1" x14ac:dyDescent="0.25">
      <c r="BS450" s="2"/>
      <c r="BT450" s="2"/>
      <c r="BU450" s="2"/>
      <c r="BV450" s="2"/>
    </row>
    <row r="451" spans="71:74" ht="15.75" customHeight="1" x14ac:dyDescent="0.25">
      <c r="BS451" s="2"/>
      <c r="BT451" s="2"/>
      <c r="BU451" s="2"/>
      <c r="BV451" s="2"/>
    </row>
    <row r="452" spans="71:74" ht="15.75" customHeight="1" x14ac:dyDescent="0.25">
      <c r="BS452" s="2"/>
      <c r="BT452" s="2"/>
      <c r="BU452" s="2"/>
      <c r="BV452" s="2"/>
    </row>
    <row r="453" spans="71:74" ht="15.75" customHeight="1" x14ac:dyDescent="0.25">
      <c r="BS453" s="2"/>
      <c r="BT453" s="2"/>
      <c r="BU453" s="2"/>
      <c r="BV453" s="2"/>
    </row>
    <row r="454" spans="71:74" ht="15.75" customHeight="1" x14ac:dyDescent="0.25">
      <c r="BS454" s="2"/>
      <c r="BT454" s="2"/>
      <c r="BU454" s="2"/>
      <c r="BV454" s="2"/>
    </row>
    <row r="455" spans="71:74" ht="15.75" customHeight="1" x14ac:dyDescent="0.25">
      <c r="BS455" s="2"/>
      <c r="BT455" s="2"/>
      <c r="BU455" s="2"/>
      <c r="BV455" s="2"/>
    </row>
    <row r="456" spans="71:74" ht="15.75" customHeight="1" x14ac:dyDescent="0.25">
      <c r="BS456" s="2"/>
      <c r="BT456" s="2"/>
      <c r="BU456" s="2"/>
      <c r="BV456" s="2"/>
    </row>
    <row r="457" spans="71:74" ht="15.75" customHeight="1" x14ac:dyDescent="0.25">
      <c r="BS457" s="2"/>
      <c r="BT457" s="2"/>
      <c r="BU457" s="2"/>
      <c r="BV457" s="2"/>
    </row>
    <row r="458" spans="71:74" ht="15.75" customHeight="1" x14ac:dyDescent="0.25">
      <c r="BS458" s="2"/>
      <c r="BT458" s="2"/>
      <c r="BU458" s="2"/>
      <c r="BV458" s="2"/>
    </row>
    <row r="459" spans="71:74" ht="15.75" customHeight="1" x14ac:dyDescent="0.25">
      <c r="BS459" s="2"/>
      <c r="BT459" s="2"/>
      <c r="BU459" s="2"/>
      <c r="BV459" s="2"/>
    </row>
    <row r="460" spans="71:74" ht="15.75" customHeight="1" x14ac:dyDescent="0.25">
      <c r="BS460" s="2"/>
      <c r="BT460" s="2"/>
      <c r="BU460" s="2"/>
      <c r="BV460" s="2"/>
    </row>
    <row r="461" spans="71:74" ht="15.75" customHeight="1" x14ac:dyDescent="0.25">
      <c r="BS461" s="2"/>
      <c r="BT461" s="2"/>
      <c r="BU461" s="2"/>
      <c r="BV461" s="2"/>
    </row>
    <row r="462" spans="71:74" ht="15.75" customHeight="1" x14ac:dyDescent="0.25">
      <c r="BS462" s="2"/>
      <c r="BT462" s="2"/>
      <c r="BU462" s="2"/>
      <c r="BV462" s="2"/>
    </row>
    <row r="463" spans="71:74" ht="15.75" customHeight="1" x14ac:dyDescent="0.25">
      <c r="BS463" s="2"/>
      <c r="BT463" s="2"/>
      <c r="BU463" s="2"/>
      <c r="BV463" s="2"/>
    </row>
    <row r="464" spans="71:74" ht="15.75" customHeight="1" x14ac:dyDescent="0.25">
      <c r="BS464" s="2"/>
      <c r="BT464" s="2"/>
      <c r="BU464" s="2"/>
      <c r="BV464" s="2"/>
    </row>
    <row r="465" spans="71:74" ht="15.75" customHeight="1" x14ac:dyDescent="0.25">
      <c r="BS465" s="2"/>
      <c r="BT465" s="2"/>
      <c r="BU465" s="2"/>
      <c r="BV465" s="2"/>
    </row>
    <row r="466" spans="71:74" ht="15.75" customHeight="1" x14ac:dyDescent="0.25">
      <c r="BS466" s="2"/>
      <c r="BT466" s="2"/>
      <c r="BU466" s="2"/>
      <c r="BV466" s="2"/>
    </row>
    <row r="467" spans="71:74" ht="15.75" customHeight="1" x14ac:dyDescent="0.25">
      <c r="BS467" s="2"/>
      <c r="BT467" s="2"/>
      <c r="BU467" s="2"/>
      <c r="BV467" s="2"/>
    </row>
    <row r="468" spans="71:74" ht="15.75" customHeight="1" x14ac:dyDescent="0.25">
      <c r="BS468" s="2"/>
      <c r="BT468" s="2"/>
      <c r="BU468" s="2"/>
      <c r="BV468" s="2"/>
    </row>
    <row r="469" spans="71:74" ht="15.75" customHeight="1" x14ac:dyDescent="0.25">
      <c r="BS469" s="2"/>
      <c r="BT469" s="2"/>
      <c r="BU469" s="2"/>
      <c r="BV469" s="2"/>
    </row>
    <row r="470" spans="71:74" ht="15.75" customHeight="1" x14ac:dyDescent="0.25">
      <c r="BS470" s="2"/>
      <c r="BT470" s="2"/>
      <c r="BU470" s="2"/>
      <c r="BV470" s="2"/>
    </row>
    <row r="471" spans="71:74" ht="15.75" customHeight="1" x14ac:dyDescent="0.25">
      <c r="BS471" s="2"/>
      <c r="BT471" s="2"/>
      <c r="BU471" s="2"/>
      <c r="BV471" s="2"/>
    </row>
    <row r="472" spans="71:74" ht="15.75" customHeight="1" x14ac:dyDescent="0.25">
      <c r="BS472" s="2"/>
      <c r="BT472" s="2"/>
      <c r="BU472" s="2"/>
      <c r="BV472" s="2"/>
    </row>
    <row r="473" spans="71:74" ht="15.75" customHeight="1" x14ac:dyDescent="0.25">
      <c r="BS473" s="2"/>
      <c r="BT473" s="2"/>
      <c r="BU473" s="2"/>
      <c r="BV473" s="2"/>
    </row>
    <row r="474" spans="71:74" ht="15.75" customHeight="1" x14ac:dyDescent="0.25">
      <c r="BS474" s="2"/>
      <c r="BT474" s="2"/>
      <c r="BU474" s="2"/>
      <c r="BV474" s="2"/>
    </row>
    <row r="475" spans="71:74" ht="15.75" customHeight="1" x14ac:dyDescent="0.25">
      <c r="BS475" s="2"/>
      <c r="BT475" s="2"/>
      <c r="BU475" s="2"/>
      <c r="BV475" s="2"/>
    </row>
    <row r="476" spans="71:74" ht="15.75" customHeight="1" x14ac:dyDescent="0.25">
      <c r="BS476" s="2"/>
      <c r="BT476" s="2"/>
      <c r="BU476" s="2"/>
      <c r="BV476" s="2"/>
    </row>
    <row r="477" spans="71:74" ht="15.75" customHeight="1" x14ac:dyDescent="0.25">
      <c r="BS477" s="2"/>
      <c r="BT477" s="2"/>
      <c r="BU477" s="2"/>
      <c r="BV477" s="2"/>
    </row>
    <row r="478" spans="71:74" ht="15.75" customHeight="1" x14ac:dyDescent="0.25">
      <c r="BS478" s="2"/>
      <c r="BT478" s="2"/>
      <c r="BU478" s="2"/>
      <c r="BV478" s="2"/>
    </row>
    <row r="479" spans="71:74" ht="15.75" customHeight="1" x14ac:dyDescent="0.25">
      <c r="BS479" s="2"/>
      <c r="BT479" s="2"/>
      <c r="BU479" s="2"/>
      <c r="BV479" s="2"/>
    </row>
    <row r="480" spans="71:74" ht="15.75" customHeight="1" x14ac:dyDescent="0.25">
      <c r="BS480" s="2"/>
      <c r="BT480" s="2"/>
      <c r="BU480" s="2"/>
      <c r="BV480" s="2"/>
    </row>
    <row r="481" spans="71:74" ht="15.75" customHeight="1" x14ac:dyDescent="0.25">
      <c r="BS481" s="2"/>
      <c r="BT481" s="2"/>
      <c r="BU481" s="2"/>
      <c r="BV481" s="2"/>
    </row>
    <row r="482" spans="71:74" ht="15.75" customHeight="1" x14ac:dyDescent="0.25">
      <c r="BS482" s="2"/>
      <c r="BT482" s="2"/>
      <c r="BU482" s="2"/>
      <c r="BV482" s="2"/>
    </row>
    <row r="483" spans="71:74" ht="15.75" customHeight="1" x14ac:dyDescent="0.25">
      <c r="BS483" s="2"/>
      <c r="BT483" s="2"/>
      <c r="BU483" s="2"/>
      <c r="BV483" s="2"/>
    </row>
    <row r="484" spans="71:74" ht="15.75" customHeight="1" x14ac:dyDescent="0.25">
      <c r="BS484" s="2"/>
      <c r="BT484" s="2"/>
      <c r="BU484" s="2"/>
      <c r="BV484" s="2"/>
    </row>
    <row r="485" spans="71:74" ht="15.75" customHeight="1" x14ac:dyDescent="0.25">
      <c r="BS485" s="2"/>
      <c r="BT485" s="2"/>
      <c r="BU485" s="2"/>
      <c r="BV485" s="2"/>
    </row>
    <row r="486" spans="71:74" ht="15.75" customHeight="1" x14ac:dyDescent="0.25">
      <c r="BS486" s="2"/>
      <c r="BT486" s="2"/>
      <c r="BU486" s="2"/>
      <c r="BV486" s="2"/>
    </row>
    <row r="487" spans="71:74" ht="15.75" customHeight="1" x14ac:dyDescent="0.25">
      <c r="BS487" s="2"/>
      <c r="BT487" s="2"/>
      <c r="BU487" s="2"/>
      <c r="BV487" s="2"/>
    </row>
    <row r="488" spans="71:74" ht="15.75" customHeight="1" x14ac:dyDescent="0.25">
      <c r="BS488" s="2"/>
      <c r="BT488" s="2"/>
      <c r="BU488" s="2"/>
      <c r="BV488" s="2"/>
    </row>
    <row r="489" spans="71:74" ht="15.75" customHeight="1" x14ac:dyDescent="0.25">
      <c r="BS489" s="2"/>
      <c r="BT489" s="2"/>
      <c r="BU489" s="2"/>
      <c r="BV489" s="2"/>
    </row>
    <row r="490" spans="71:74" ht="15.75" customHeight="1" x14ac:dyDescent="0.25">
      <c r="BS490" s="2"/>
      <c r="BT490" s="2"/>
      <c r="BU490" s="2"/>
      <c r="BV490" s="2"/>
    </row>
    <row r="491" spans="71:74" ht="15.75" customHeight="1" x14ac:dyDescent="0.25">
      <c r="BS491" s="2"/>
      <c r="BT491" s="2"/>
      <c r="BU491" s="2"/>
      <c r="BV491" s="2"/>
    </row>
    <row r="492" spans="71:74" ht="15.75" customHeight="1" x14ac:dyDescent="0.25">
      <c r="BS492" s="2"/>
      <c r="BT492" s="2"/>
      <c r="BU492" s="2"/>
      <c r="BV492" s="2"/>
    </row>
    <row r="493" spans="71:74" ht="15.75" customHeight="1" x14ac:dyDescent="0.25">
      <c r="BS493" s="2"/>
      <c r="BT493" s="2"/>
      <c r="BU493" s="2"/>
      <c r="BV493" s="2"/>
    </row>
    <row r="494" spans="71:74" ht="15.75" customHeight="1" x14ac:dyDescent="0.25">
      <c r="BS494" s="2"/>
      <c r="BT494" s="2"/>
      <c r="BU494" s="2"/>
      <c r="BV494" s="2"/>
    </row>
    <row r="495" spans="71:74" ht="15.75" customHeight="1" x14ac:dyDescent="0.25">
      <c r="BS495" s="2"/>
      <c r="BT495" s="2"/>
      <c r="BU495" s="2"/>
      <c r="BV495" s="2"/>
    </row>
    <row r="496" spans="71:74" ht="15.75" customHeight="1" x14ac:dyDescent="0.25">
      <c r="BS496" s="2"/>
      <c r="BT496" s="2"/>
      <c r="BU496" s="2"/>
      <c r="BV496" s="2"/>
    </row>
    <row r="497" spans="71:74" ht="15.75" customHeight="1" x14ac:dyDescent="0.25">
      <c r="BS497" s="2"/>
      <c r="BT497" s="2"/>
      <c r="BU497" s="2"/>
      <c r="BV497" s="2"/>
    </row>
    <row r="498" spans="71:74" ht="15.75" customHeight="1" x14ac:dyDescent="0.25">
      <c r="BS498" s="2"/>
      <c r="BT498" s="2"/>
      <c r="BU498" s="2"/>
      <c r="BV498" s="2"/>
    </row>
    <row r="499" spans="71:74" ht="15.75" customHeight="1" x14ac:dyDescent="0.25">
      <c r="BS499" s="2"/>
      <c r="BT499" s="2"/>
      <c r="BU499" s="2"/>
      <c r="BV499" s="2"/>
    </row>
    <row r="500" spans="71:74" ht="15.75" customHeight="1" x14ac:dyDescent="0.25">
      <c r="BS500" s="2"/>
      <c r="BT500" s="2"/>
      <c r="BU500" s="2"/>
      <c r="BV500" s="2"/>
    </row>
    <row r="501" spans="71:74" ht="15.75" customHeight="1" x14ac:dyDescent="0.25">
      <c r="BS501" s="2"/>
      <c r="BT501" s="2"/>
      <c r="BU501" s="2"/>
      <c r="BV501" s="2"/>
    </row>
    <row r="502" spans="71:74" ht="15.75" customHeight="1" x14ac:dyDescent="0.25">
      <c r="BS502" s="2"/>
      <c r="BT502" s="2"/>
      <c r="BU502" s="2"/>
      <c r="BV502" s="2"/>
    </row>
    <row r="503" spans="71:74" ht="15.75" customHeight="1" x14ac:dyDescent="0.25">
      <c r="BS503" s="2"/>
      <c r="BT503" s="2"/>
      <c r="BU503" s="2"/>
      <c r="BV503" s="2"/>
    </row>
    <row r="504" spans="71:74" ht="15.75" customHeight="1" x14ac:dyDescent="0.25">
      <c r="BS504" s="2"/>
      <c r="BT504" s="2"/>
      <c r="BU504" s="2"/>
      <c r="BV504" s="2"/>
    </row>
    <row r="505" spans="71:74" ht="15.75" customHeight="1" x14ac:dyDescent="0.25">
      <c r="BS505" s="2"/>
      <c r="BT505" s="2"/>
      <c r="BU505" s="2"/>
      <c r="BV505" s="2"/>
    </row>
    <row r="506" spans="71:74" ht="15.75" customHeight="1" x14ac:dyDescent="0.25">
      <c r="BS506" s="2"/>
      <c r="BT506" s="2"/>
      <c r="BU506" s="2"/>
      <c r="BV506" s="2"/>
    </row>
    <row r="507" spans="71:74" ht="15.75" customHeight="1" x14ac:dyDescent="0.25">
      <c r="BS507" s="2"/>
      <c r="BT507" s="2"/>
      <c r="BU507" s="2"/>
      <c r="BV507" s="2"/>
    </row>
    <row r="508" spans="71:74" ht="15.75" customHeight="1" x14ac:dyDescent="0.25">
      <c r="BS508" s="2"/>
      <c r="BT508" s="2"/>
      <c r="BU508" s="2"/>
      <c r="BV508" s="2"/>
    </row>
    <row r="509" spans="71:74" ht="15.75" customHeight="1" x14ac:dyDescent="0.25">
      <c r="BS509" s="2"/>
      <c r="BT509" s="2"/>
      <c r="BU509" s="2"/>
      <c r="BV509" s="2"/>
    </row>
    <row r="510" spans="71:74" ht="15.75" customHeight="1" x14ac:dyDescent="0.25">
      <c r="BS510" s="2"/>
      <c r="BT510" s="2"/>
      <c r="BU510" s="2"/>
      <c r="BV510" s="2"/>
    </row>
    <row r="511" spans="71:74" ht="15.75" customHeight="1" x14ac:dyDescent="0.25">
      <c r="BS511" s="2"/>
      <c r="BT511" s="2"/>
      <c r="BU511" s="2"/>
      <c r="BV511" s="2"/>
    </row>
    <row r="512" spans="71:74" ht="15.75" customHeight="1" x14ac:dyDescent="0.25">
      <c r="BS512" s="2"/>
      <c r="BT512" s="2"/>
      <c r="BU512" s="2"/>
      <c r="BV512" s="2"/>
    </row>
    <row r="513" spans="71:74" ht="15.75" customHeight="1" x14ac:dyDescent="0.25">
      <c r="BS513" s="2"/>
      <c r="BT513" s="2"/>
      <c r="BU513" s="2"/>
      <c r="BV513" s="2"/>
    </row>
    <row r="514" spans="71:74" ht="15.75" customHeight="1" x14ac:dyDescent="0.25">
      <c r="BS514" s="2"/>
      <c r="BT514" s="2"/>
      <c r="BU514" s="2"/>
      <c r="BV514" s="2"/>
    </row>
    <row r="515" spans="71:74" ht="15.75" customHeight="1" x14ac:dyDescent="0.25">
      <c r="BS515" s="2"/>
      <c r="BT515" s="2"/>
      <c r="BU515" s="2"/>
      <c r="BV515" s="2"/>
    </row>
    <row r="516" spans="71:74" ht="15.75" customHeight="1" x14ac:dyDescent="0.25">
      <c r="BS516" s="2"/>
      <c r="BT516" s="2"/>
      <c r="BU516" s="2"/>
      <c r="BV516" s="2"/>
    </row>
    <row r="517" spans="71:74" ht="15.75" customHeight="1" x14ac:dyDescent="0.25">
      <c r="BS517" s="2"/>
      <c r="BT517" s="2"/>
      <c r="BU517" s="2"/>
      <c r="BV517" s="2"/>
    </row>
    <row r="518" spans="71:74" ht="15.75" customHeight="1" x14ac:dyDescent="0.25">
      <c r="BS518" s="2"/>
      <c r="BT518" s="2"/>
      <c r="BU518" s="2"/>
      <c r="BV518" s="2"/>
    </row>
    <row r="519" spans="71:74" ht="15.75" customHeight="1" x14ac:dyDescent="0.25">
      <c r="BS519" s="2"/>
      <c r="BT519" s="2"/>
      <c r="BU519" s="2"/>
      <c r="BV519" s="2"/>
    </row>
    <row r="520" spans="71:74" ht="15.75" customHeight="1" x14ac:dyDescent="0.25">
      <c r="BS520" s="2"/>
      <c r="BT520" s="2"/>
      <c r="BU520" s="2"/>
      <c r="BV520" s="2"/>
    </row>
    <row r="521" spans="71:74" ht="15.75" customHeight="1" x14ac:dyDescent="0.25">
      <c r="BS521" s="2"/>
      <c r="BT521" s="2"/>
      <c r="BU521" s="2"/>
      <c r="BV521" s="2"/>
    </row>
    <row r="522" spans="71:74" ht="15.75" customHeight="1" x14ac:dyDescent="0.25">
      <c r="BS522" s="2"/>
      <c r="BT522" s="2"/>
      <c r="BU522" s="2"/>
      <c r="BV522" s="2"/>
    </row>
    <row r="523" spans="71:74" ht="15.75" customHeight="1" x14ac:dyDescent="0.25">
      <c r="BS523" s="2"/>
      <c r="BT523" s="2"/>
      <c r="BU523" s="2"/>
      <c r="BV523" s="2"/>
    </row>
    <row r="524" spans="71:74" ht="15.75" customHeight="1" x14ac:dyDescent="0.25">
      <c r="BS524" s="2"/>
      <c r="BT524" s="2"/>
      <c r="BU524" s="2"/>
      <c r="BV524" s="2"/>
    </row>
    <row r="525" spans="71:74" ht="15.75" customHeight="1" x14ac:dyDescent="0.25">
      <c r="BS525" s="2"/>
      <c r="BT525" s="2"/>
      <c r="BU525" s="2"/>
      <c r="BV525" s="2"/>
    </row>
    <row r="526" spans="71:74" ht="15.75" customHeight="1" x14ac:dyDescent="0.25">
      <c r="BS526" s="2"/>
      <c r="BT526" s="2"/>
      <c r="BU526" s="2"/>
      <c r="BV526" s="2"/>
    </row>
    <row r="527" spans="71:74" ht="15.75" customHeight="1" x14ac:dyDescent="0.25">
      <c r="BS527" s="2"/>
      <c r="BT527" s="2"/>
      <c r="BU527" s="2"/>
      <c r="BV527" s="2"/>
    </row>
    <row r="528" spans="71:74" ht="15.75" customHeight="1" x14ac:dyDescent="0.25">
      <c r="BS528" s="2"/>
      <c r="BT528" s="2"/>
      <c r="BU528" s="2"/>
      <c r="BV528" s="2"/>
    </row>
    <row r="529" spans="71:74" ht="15.75" customHeight="1" x14ac:dyDescent="0.25">
      <c r="BS529" s="2"/>
      <c r="BT529" s="2"/>
      <c r="BU529" s="2"/>
      <c r="BV529" s="2"/>
    </row>
    <row r="530" spans="71:74" ht="15.75" customHeight="1" x14ac:dyDescent="0.25">
      <c r="BS530" s="2"/>
      <c r="BT530" s="2"/>
      <c r="BU530" s="2"/>
      <c r="BV530" s="2"/>
    </row>
    <row r="531" spans="71:74" ht="15.75" customHeight="1" x14ac:dyDescent="0.25">
      <c r="BS531" s="2"/>
      <c r="BT531" s="2"/>
      <c r="BU531" s="2"/>
      <c r="BV531" s="2"/>
    </row>
    <row r="532" spans="71:74" ht="15.75" customHeight="1" x14ac:dyDescent="0.25">
      <c r="BS532" s="2"/>
      <c r="BT532" s="2"/>
      <c r="BU532" s="2"/>
      <c r="BV532" s="2"/>
    </row>
    <row r="533" spans="71:74" ht="15.75" customHeight="1" x14ac:dyDescent="0.25">
      <c r="BS533" s="2"/>
      <c r="BT533" s="2"/>
      <c r="BU533" s="2"/>
      <c r="BV533" s="2"/>
    </row>
    <row r="534" spans="71:74" ht="15.75" customHeight="1" x14ac:dyDescent="0.25">
      <c r="BS534" s="2"/>
      <c r="BT534" s="2"/>
      <c r="BU534" s="2"/>
      <c r="BV534" s="2"/>
    </row>
    <row r="535" spans="71:74" ht="15.75" customHeight="1" x14ac:dyDescent="0.25">
      <c r="BS535" s="2"/>
      <c r="BT535" s="2"/>
      <c r="BU535" s="2"/>
      <c r="BV535" s="2"/>
    </row>
    <row r="536" spans="71:74" ht="15.75" customHeight="1" x14ac:dyDescent="0.25">
      <c r="BS536" s="2"/>
      <c r="BT536" s="2"/>
      <c r="BU536" s="2"/>
      <c r="BV536" s="2"/>
    </row>
    <row r="537" spans="71:74" ht="15.75" customHeight="1" x14ac:dyDescent="0.25">
      <c r="BS537" s="2"/>
      <c r="BT537" s="2"/>
      <c r="BU537" s="2"/>
      <c r="BV537" s="2"/>
    </row>
    <row r="538" spans="71:74" ht="15.75" customHeight="1" x14ac:dyDescent="0.25">
      <c r="BS538" s="2"/>
      <c r="BT538" s="2"/>
      <c r="BU538" s="2"/>
      <c r="BV538" s="2"/>
    </row>
    <row r="539" spans="71:74" ht="15.75" customHeight="1" x14ac:dyDescent="0.25">
      <c r="BS539" s="2"/>
      <c r="BT539" s="2"/>
      <c r="BU539" s="2"/>
      <c r="BV539" s="2"/>
    </row>
    <row r="540" spans="71:74" ht="15.75" customHeight="1" x14ac:dyDescent="0.25">
      <c r="BS540" s="2"/>
      <c r="BT540" s="2"/>
      <c r="BU540" s="2"/>
      <c r="BV540" s="2"/>
    </row>
    <row r="541" spans="71:74" ht="15.75" customHeight="1" x14ac:dyDescent="0.25">
      <c r="BS541" s="2"/>
      <c r="BT541" s="2"/>
      <c r="BU541" s="2"/>
      <c r="BV541" s="2"/>
    </row>
    <row r="542" spans="71:74" ht="15.75" customHeight="1" x14ac:dyDescent="0.25">
      <c r="BS542" s="2"/>
      <c r="BT542" s="2"/>
      <c r="BU542" s="2"/>
      <c r="BV542" s="2"/>
    </row>
    <row r="543" spans="71:74" ht="15.75" customHeight="1" x14ac:dyDescent="0.25">
      <c r="BS543" s="2"/>
      <c r="BT543" s="2"/>
      <c r="BU543" s="2"/>
      <c r="BV543" s="2"/>
    </row>
    <row r="544" spans="71:74" ht="15.75" customHeight="1" x14ac:dyDescent="0.25">
      <c r="BS544" s="2"/>
      <c r="BT544" s="2"/>
      <c r="BU544" s="2"/>
      <c r="BV544" s="2"/>
    </row>
    <row r="545" spans="71:74" ht="15.75" customHeight="1" x14ac:dyDescent="0.25">
      <c r="BS545" s="2"/>
      <c r="BT545" s="2"/>
      <c r="BU545" s="2"/>
      <c r="BV545" s="2"/>
    </row>
    <row r="546" spans="71:74" ht="15.75" customHeight="1" x14ac:dyDescent="0.25">
      <c r="BS546" s="2"/>
      <c r="BT546" s="2"/>
      <c r="BU546" s="2"/>
      <c r="BV546" s="2"/>
    </row>
    <row r="547" spans="71:74" ht="15.75" customHeight="1" x14ac:dyDescent="0.25">
      <c r="BS547" s="2"/>
      <c r="BT547" s="2"/>
      <c r="BU547" s="2"/>
      <c r="BV547" s="2"/>
    </row>
    <row r="548" spans="71:74" ht="15.75" customHeight="1" x14ac:dyDescent="0.25">
      <c r="BS548" s="2"/>
      <c r="BT548" s="2"/>
      <c r="BU548" s="2"/>
      <c r="BV548" s="2"/>
    </row>
    <row r="549" spans="71:74" ht="15.75" customHeight="1" x14ac:dyDescent="0.25">
      <c r="BS549" s="2"/>
      <c r="BT549" s="2"/>
      <c r="BU549" s="2"/>
      <c r="BV549" s="2"/>
    </row>
    <row r="550" spans="71:74" ht="15.75" customHeight="1" x14ac:dyDescent="0.25">
      <c r="BS550" s="2"/>
      <c r="BT550" s="2"/>
      <c r="BU550" s="2"/>
      <c r="BV550" s="2"/>
    </row>
    <row r="551" spans="71:74" ht="15.75" customHeight="1" x14ac:dyDescent="0.25">
      <c r="BS551" s="2"/>
      <c r="BT551" s="2"/>
      <c r="BU551" s="2"/>
      <c r="BV551" s="2"/>
    </row>
    <row r="552" spans="71:74" ht="15.75" customHeight="1" x14ac:dyDescent="0.25">
      <c r="BS552" s="2"/>
      <c r="BT552" s="2"/>
      <c r="BU552" s="2"/>
      <c r="BV552" s="2"/>
    </row>
    <row r="553" spans="71:74" ht="15.75" customHeight="1" x14ac:dyDescent="0.25">
      <c r="BS553" s="2"/>
      <c r="BT553" s="2"/>
      <c r="BU553" s="2"/>
      <c r="BV553" s="2"/>
    </row>
    <row r="554" spans="71:74" ht="15.75" customHeight="1" x14ac:dyDescent="0.25">
      <c r="BS554" s="2"/>
      <c r="BT554" s="2"/>
      <c r="BU554" s="2"/>
      <c r="BV554" s="2"/>
    </row>
    <row r="555" spans="71:74" ht="15.75" customHeight="1" x14ac:dyDescent="0.25">
      <c r="BS555" s="2"/>
      <c r="BT555" s="2"/>
      <c r="BU555" s="2"/>
      <c r="BV555" s="2"/>
    </row>
    <row r="556" spans="71:74" ht="15.75" customHeight="1" x14ac:dyDescent="0.25">
      <c r="BS556" s="2"/>
      <c r="BT556" s="2"/>
      <c r="BU556" s="2"/>
      <c r="BV556" s="2"/>
    </row>
    <row r="557" spans="71:74" ht="15.75" customHeight="1" x14ac:dyDescent="0.25">
      <c r="BS557" s="2"/>
      <c r="BT557" s="2"/>
      <c r="BU557" s="2"/>
      <c r="BV557" s="2"/>
    </row>
    <row r="558" spans="71:74" ht="15.75" customHeight="1" x14ac:dyDescent="0.25">
      <c r="BS558" s="2"/>
      <c r="BT558" s="2"/>
      <c r="BU558" s="2"/>
      <c r="BV558" s="2"/>
    </row>
    <row r="559" spans="71:74" ht="15.75" customHeight="1" x14ac:dyDescent="0.25">
      <c r="BS559" s="2"/>
      <c r="BT559" s="2"/>
      <c r="BU559" s="2"/>
      <c r="BV559" s="2"/>
    </row>
    <row r="560" spans="71:74" ht="15.75" customHeight="1" x14ac:dyDescent="0.25">
      <c r="BS560" s="2"/>
      <c r="BT560" s="2"/>
      <c r="BU560" s="2"/>
      <c r="BV560" s="2"/>
    </row>
    <row r="561" spans="71:74" ht="15.75" customHeight="1" x14ac:dyDescent="0.25">
      <c r="BS561" s="2"/>
      <c r="BT561" s="2"/>
      <c r="BU561" s="2"/>
      <c r="BV561" s="2"/>
    </row>
    <row r="562" spans="71:74" ht="15.75" customHeight="1" x14ac:dyDescent="0.25">
      <c r="BS562" s="2"/>
      <c r="BT562" s="2"/>
      <c r="BU562" s="2"/>
      <c r="BV562" s="2"/>
    </row>
    <row r="563" spans="71:74" ht="15.75" customHeight="1" x14ac:dyDescent="0.25">
      <c r="BS563" s="2"/>
      <c r="BT563" s="2"/>
      <c r="BU563" s="2"/>
      <c r="BV563" s="2"/>
    </row>
    <row r="564" spans="71:74" ht="15.75" customHeight="1" x14ac:dyDescent="0.25">
      <c r="BS564" s="2"/>
      <c r="BT564" s="2"/>
      <c r="BU564" s="2"/>
      <c r="BV564" s="2"/>
    </row>
    <row r="565" spans="71:74" ht="15.75" customHeight="1" x14ac:dyDescent="0.25">
      <c r="BS565" s="2"/>
      <c r="BT565" s="2"/>
      <c r="BU565" s="2"/>
      <c r="BV565" s="2"/>
    </row>
    <row r="566" spans="71:74" ht="15.75" customHeight="1" x14ac:dyDescent="0.25">
      <c r="BS566" s="2"/>
      <c r="BT566" s="2"/>
      <c r="BU566" s="2"/>
      <c r="BV566" s="2"/>
    </row>
    <row r="567" spans="71:74" ht="15.75" customHeight="1" x14ac:dyDescent="0.25">
      <c r="BS567" s="2"/>
      <c r="BT567" s="2"/>
      <c r="BU567" s="2"/>
      <c r="BV567" s="2"/>
    </row>
    <row r="568" spans="71:74" ht="15.75" customHeight="1" x14ac:dyDescent="0.25">
      <c r="BS568" s="2"/>
      <c r="BT568" s="2"/>
      <c r="BU568" s="2"/>
      <c r="BV568" s="2"/>
    </row>
    <row r="569" spans="71:74" ht="15.75" customHeight="1" x14ac:dyDescent="0.25">
      <c r="BS569" s="2"/>
      <c r="BT569" s="2"/>
      <c r="BU569" s="2"/>
      <c r="BV569" s="2"/>
    </row>
    <row r="570" spans="71:74" ht="15.75" customHeight="1" x14ac:dyDescent="0.25">
      <c r="BS570" s="2"/>
      <c r="BT570" s="2"/>
      <c r="BU570" s="2"/>
      <c r="BV570" s="2"/>
    </row>
    <row r="571" spans="71:74" ht="15.75" customHeight="1" x14ac:dyDescent="0.25">
      <c r="BS571" s="2"/>
      <c r="BT571" s="2"/>
      <c r="BU571" s="2"/>
      <c r="BV571" s="2"/>
    </row>
    <row r="572" spans="71:74" ht="15.75" customHeight="1" x14ac:dyDescent="0.25">
      <c r="BS572" s="2"/>
      <c r="BT572" s="2"/>
      <c r="BU572" s="2"/>
      <c r="BV572" s="2"/>
    </row>
    <row r="573" spans="71:74" ht="15.75" customHeight="1" x14ac:dyDescent="0.25">
      <c r="BS573" s="2"/>
      <c r="BT573" s="2"/>
      <c r="BU573" s="2"/>
      <c r="BV573" s="2"/>
    </row>
    <row r="574" spans="71:74" ht="15.75" customHeight="1" x14ac:dyDescent="0.25">
      <c r="BS574" s="2"/>
      <c r="BT574" s="2"/>
      <c r="BU574" s="2"/>
      <c r="BV574" s="2"/>
    </row>
    <row r="575" spans="71:74" ht="15.75" customHeight="1" x14ac:dyDescent="0.25">
      <c r="BS575" s="2"/>
      <c r="BT575" s="2"/>
      <c r="BU575" s="2"/>
      <c r="BV575" s="2"/>
    </row>
    <row r="576" spans="71:74" ht="15.75" customHeight="1" x14ac:dyDescent="0.25">
      <c r="BS576" s="2"/>
      <c r="BT576" s="2"/>
      <c r="BU576" s="2"/>
      <c r="BV576" s="2"/>
    </row>
    <row r="577" spans="71:74" ht="15.75" customHeight="1" x14ac:dyDescent="0.25">
      <c r="BS577" s="2"/>
      <c r="BT577" s="2"/>
      <c r="BU577" s="2"/>
      <c r="BV577" s="2"/>
    </row>
    <row r="578" spans="71:74" ht="15.75" customHeight="1" x14ac:dyDescent="0.25">
      <c r="BS578" s="2"/>
      <c r="BT578" s="2"/>
      <c r="BU578" s="2"/>
      <c r="BV578" s="2"/>
    </row>
    <row r="579" spans="71:74" ht="15.75" customHeight="1" x14ac:dyDescent="0.25">
      <c r="BS579" s="2"/>
      <c r="BT579" s="2"/>
      <c r="BU579" s="2"/>
      <c r="BV579" s="2"/>
    </row>
    <row r="580" spans="71:74" ht="15.75" customHeight="1" x14ac:dyDescent="0.25">
      <c r="BS580" s="2"/>
      <c r="BT580" s="2"/>
      <c r="BU580" s="2"/>
      <c r="BV580" s="2"/>
    </row>
    <row r="581" spans="71:74" ht="15.75" customHeight="1" x14ac:dyDescent="0.25">
      <c r="BS581" s="2"/>
      <c r="BT581" s="2"/>
      <c r="BU581" s="2"/>
      <c r="BV581" s="2"/>
    </row>
    <row r="582" spans="71:74" ht="15.75" customHeight="1" x14ac:dyDescent="0.25">
      <c r="BS582" s="2"/>
      <c r="BT582" s="2"/>
      <c r="BU582" s="2"/>
      <c r="BV582" s="2"/>
    </row>
    <row r="583" spans="71:74" ht="15.75" customHeight="1" x14ac:dyDescent="0.25">
      <c r="BS583" s="2"/>
      <c r="BT583" s="2"/>
      <c r="BU583" s="2"/>
      <c r="BV583" s="2"/>
    </row>
    <row r="584" spans="71:74" ht="15.75" customHeight="1" x14ac:dyDescent="0.25">
      <c r="BS584" s="2"/>
      <c r="BT584" s="2"/>
      <c r="BU584" s="2"/>
      <c r="BV584" s="2"/>
    </row>
    <row r="585" spans="71:74" ht="15.75" customHeight="1" x14ac:dyDescent="0.25">
      <c r="BS585" s="2"/>
      <c r="BT585" s="2"/>
      <c r="BU585" s="2"/>
      <c r="BV585" s="2"/>
    </row>
    <row r="586" spans="71:74" ht="15.75" customHeight="1" x14ac:dyDescent="0.25">
      <c r="BS586" s="2"/>
      <c r="BT586" s="2"/>
      <c r="BU586" s="2"/>
      <c r="BV586" s="2"/>
    </row>
    <row r="587" spans="71:74" ht="15.75" customHeight="1" x14ac:dyDescent="0.25">
      <c r="BS587" s="2"/>
      <c r="BT587" s="2"/>
      <c r="BU587" s="2"/>
      <c r="BV587" s="2"/>
    </row>
    <row r="588" spans="71:74" ht="15.75" customHeight="1" x14ac:dyDescent="0.25">
      <c r="BS588" s="2"/>
      <c r="BT588" s="2"/>
      <c r="BU588" s="2"/>
      <c r="BV588" s="2"/>
    </row>
    <row r="589" spans="71:74" ht="15.75" customHeight="1" x14ac:dyDescent="0.25">
      <c r="BS589" s="2"/>
      <c r="BT589" s="2"/>
      <c r="BU589" s="2"/>
      <c r="BV589" s="2"/>
    </row>
    <row r="590" spans="71:74" ht="15.75" customHeight="1" x14ac:dyDescent="0.25">
      <c r="BS590" s="2"/>
      <c r="BT590" s="2"/>
      <c r="BU590" s="2"/>
      <c r="BV590" s="2"/>
    </row>
    <row r="591" spans="71:74" ht="15.75" customHeight="1" x14ac:dyDescent="0.25">
      <c r="BS591" s="2"/>
      <c r="BT591" s="2"/>
      <c r="BU591" s="2"/>
      <c r="BV591" s="2"/>
    </row>
    <row r="592" spans="71:74" ht="15.75" customHeight="1" x14ac:dyDescent="0.25">
      <c r="BS592" s="2"/>
      <c r="BT592" s="2"/>
      <c r="BU592" s="2"/>
      <c r="BV592" s="2"/>
    </row>
    <row r="593" spans="71:74" ht="15.75" customHeight="1" x14ac:dyDescent="0.25">
      <c r="BS593" s="2"/>
      <c r="BT593" s="2"/>
      <c r="BU593" s="2"/>
      <c r="BV593" s="2"/>
    </row>
    <row r="594" spans="71:74" ht="15.75" customHeight="1" x14ac:dyDescent="0.25">
      <c r="BS594" s="2"/>
      <c r="BT594" s="2"/>
      <c r="BU594" s="2"/>
      <c r="BV594" s="2"/>
    </row>
    <row r="595" spans="71:74" ht="15.75" customHeight="1" x14ac:dyDescent="0.25">
      <c r="BS595" s="2"/>
      <c r="BT595" s="2"/>
      <c r="BU595" s="2"/>
      <c r="BV595" s="2"/>
    </row>
    <row r="596" spans="71:74" ht="15.75" customHeight="1" x14ac:dyDescent="0.25">
      <c r="BS596" s="2"/>
      <c r="BT596" s="2"/>
      <c r="BU596" s="2"/>
      <c r="BV596" s="2"/>
    </row>
    <row r="597" spans="71:74" ht="15.75" customHeight="1" x14ac:dyDescent="0.25">
      <c r="BS597" s="2"/>
      <c r="BT597" s="2"/>
      <c r="BU597" s="2"/>
      <c r="BV597" s="2"/>
    </row>
    <row r="598" spans="71:74" ht="15.75" customHeight="1" x14ac:dyDescent="0.25">
      <c r="BS598" s="2"/>
      <c r="BT598" s="2"/>
      <c r="BU598" s="2"/>
      <c r="BV598" s="2"/>
    </row>
    <row r="599" spans="71:74" ht="15.75" customHeight="1" x14ac:dyDescent="0.25">
      <c r="BS599" s="2"/>
      <c r="BT599" s="2"/>
      <c r="BU599" s="2"/>
      <c r="BV599" s="2"/>
    </row>
    <row r="600" spans="71:74" ht="15.75" customHeight="1" x14ac:dyDescent="0.25">
      <c r="BS600" s="2"/>
      <c r="BT600" s="2"/>
      <c r="BU600" s="2"/>
      <c r="BV600" s="2"/>
    </row>
    <row r="601" spans="71:74" ht="15.75" customHeight="1" x14ac:dyDescent="0.25">
      <c r="BS601" s="2"/>
      <c r="BT601" s="2"/>
      <c r="BU601" s="2"/>
      <c r="BV601" s="2"/>
    </row>
    <row r="602" spans="71:74" ht="15.75" customHeight="1" x14ac:dyDescent="0.25">
      <c r="BS602" s="2"/>
      <c r="BT602" s="2"/>
      <c r="BU602" s="2"/>
      <c r="BV602" s="2"/>
    </row>
    <row r="603" spans="71:74" ht="15.75" customHeight="1" x14ac:dyDescent="0.25">
      <c r="BS603" s="2"/>
      <c r="BT603" s="2"/>
      <c r="BU603" s="2"/>
      <c r="BV603" s="2"/>
    </row>
    <row r="604" spans="71:74" ht="15.75" customHeight="1" x14ac:dyDescent="0.25">
      <c r="BS604" s="2"/>
      <c r="BT604" s="2"/>
      <c r="BU604" s="2"/>
      <c r="BV604" s="2"/>
    </row>
    <row r="605" spans="71:74" ht="15.75" customHeight="1" x14ac:dyDescent="0.25">
      <c r="BS605" s="2"/>
      <c r="BT605" s="2"/>
      <c r="BU605" s="2"/>
      <c r="BV605" s="2"/>
    </row>
    <row r="606" spans="71:74" ht="15.75" customHeight="1" x14ac:dyDescent="0.25">
      <c r="BS606" s="2"/>
      <c r="BT606" s="2"/>
      <c r="BU606" s="2"/>
      <c r="BV606" s="2"/>
    </row>
    <row r="607" spans="71:74" ht="15.75" customHeight="1" x14ac:dyDescent="0.25">
      <c r="BS607" s="2"/>
      <c r="BT607" s="2"/>
      <c r="BU607" s="2"/>
      <c r="BV607" s="2"/>
    </row>
    <row r="608" spans="71:74" ht="15.75" customHeight="1" x14ac:dyDescent="0.25">
      <c r="BS608" s="2"/>
      <c r="BT608" s="2"/>
      <c r="BU608" s="2"/>
      <c r="BV608" s="2"/>
    </row>
    <row r="609" spans="71:74" ht="15.75" customHeight="1" x14ac:dyDescent="0.25">
      <c r="BS609" s="2"/>
      <c r="BT609" s="2"/>
      <c r="BU609" s="2"/>
      <c r="BV609" s="2"/>
    </row>
    <row r="610" spans="71:74" ht="15.75" customHeight="1" x14ac:dyDescent="0.25">
      <c r="BS610" s="2"/>
      <c r="BT610" s="2"/>
      <c r="BU610" s="2"/>
      <c r="BV610" s="2"/>
    </row>
    <row r="611" spans="71:74" ht="15.75" customHeight="1" x14ac:dyDescent="0.25">
      <c r="BS611" s="2"/>
      <c r="BT611" s="2"/>
      <c r="BU611" s="2"/>
      <c r="BV611" s="2"/>
    </row>
    <row r="612" spans="71:74" ht="15.75" customHeight="1" x14ac:dyDescent="0.25">
      <c r="BS612" s="2"/>
      <c r="BT612" s="2"/>
      <c r="BU612" s="2"/>
      <c r="BV612" s="2"/>
    </row>
    <row r="613" spans="71:74" ht="15.75" customHeight="1" x14ac:dyDescent="0.25">
      <c r="BS613" s="2"/>
      <c r="BT613" s="2"/>
      <c r="BU613" s="2"/>
      <c r="BV613" s="2"/>
    </row>
    <row r="614" spans="71:74" ht="15.75" customHeight="1" x14ac:dyDescent="0.25">
      <c r="BS614" s="2"/>
      <c r="BT614" s="2"/>
      <c r="BU614" s="2"/>
      <c r="BV614" s="2"/>
    </row>
    <row r="615" spans="71:74" ht="15.75" customHeight="1" x14ac:dyDescent="0.25">
      <c r="BS615" s="2"/>
      <c r="BT615" s="2"/>
      <c r="BU615" s="2"/>
      <c r="BV615" s="2"/>
    </row>
    <row r="616" spans="71:74" ht="15.75" customHeight="1" x14ac:dyDescent="0.25">
      <c r="BS616" s="2"/>
      <c r="BT616" s="2"/>
      <c r="BU616" s="2"/>
      <c r="BV616" s="2"/>
    </row>
    <row r="617" spans="71:74" ht="15.75" customHeight="1" x14ac:dyDescent="0.25">
      <c r="BS617" s="2"/>
      <c r="BT617" s="2"/>
      <c r="BU617" s="2"/>
      <c r="BV617" s="2"/>
    </row>
    <row r="618" spans="71:74" ht="15.75" customHeight="1" x14ac:dyDescent="0.25">
      <c r="BS618" s="2"/>
      <c r="BT618" s="2"/>
      <c r="BU618" s="2"/>
      <c r="BV618" s="2"/>
    </row>
    <row r="619" spans="71:74" ht="15.75" customHeight="1" x14ac:dyDescent="0.25">
      <c r="BS619" s="2"/>
      <c r="BT619" s="2"/>
      <c r="BU619" s="2"/>
      <c r="BV619" s="2"/>
    </row>
    <row r="620" spans="71:74" ht="15.75" customHeight="1" x14ac:dyDescent="0.25">
      <c r="BS620" s="2"/>
      <c r="BT620" s="2"/>
      <c r="BU620" s="2"/>
      <c r="BV620" s="2"/>
    </row>
    <row r="621" spans="71:74" ht="15.75" customHeight="1" x14ac:dyDescent="0.25">
      <c r="BS621" s="2"/>
      <c r="BT621" s="2"/>
      <c r="BU621" s="2"/>
      <c r="BV621" s="2"/>
    </row>
    <row r="622" spans="71:74" ht="15.75" customHeight="1" x14ac:dyDescent="0.25">
      <c r="BS622" s="2"/>
      <c r="BT622" s="2"/>
      <c r="BU622" s="2"/>
      <c r="BV622" s="2"/>
    </row>
    <row r="623" spans="71:74" ht="15.75" customHeight="1" x14ac:dyDescent="0.25">
      <c r="BS623" s="2"/>
      <c r="BT623" s="2"/>
      <c r="BU623" s="2"/>
      <c r="BV623" s="2"/>
    </row>
    <row r="624" spans="71:74" ht="15.75" customHeight="1" x14ac:dyDescent="0.25">
      <c r="BS624" s="2"/>
      <c r="BT624" s="2"/>
      <c r="BU624" s="2"/>
      <c r="BV624" s="2"/>
    </row>
    <row r="625" spans="71:74" ht="15.75" customHeight="1" x14ac:dyDescent="0.25">
      <c r="BS625" s="2"/>
      <c r="BT625" s="2"/>
      <c r="BU625" s="2"/>
      <c r="BV625" s="2"/>
    </row>
    <row r="626" spans="71:74" ht="15.75" customHeight="1" x14ac:dyDescent="0.25">
      <c r="BS626" s="2"/>
      <c r="BT626" s="2"/>
      <c r="BU626" s="2"/>
      <c r="BV626" s="2"/>
    </row>
    <row r="627" spans="71:74" ht="15.75" customHeight="1" x14ac:dyDescent="0.25">
      <c r="BS627" s="2"/>
      <c r="BT627" s="2"/>
      <c r="BU627" s="2"/>
      <c r="BV627" s="2"/>
    </row>
    <row r="628" spans="71:74" ht="15.75" customHeight="1" x14ac:dyDescent="0.25">
      <c r="BS628" s="2"/>
      <c r="BT628" s="2"/>
      <c r="BU628" s="2"/>
      <c r="BV628" s="2"/>
    </row>
    <row r="629" spans="71:74" ht="15.75" customHeight="1" x14ac:dyDescent="0.25">
      <c r="BS629" s="2"/>
      <c r="BT629" s="2"/>
      <c r="BU629" s="2"/>
      <c r="BV629" s="2"/>
    </row>
    <row r="630" spans="71:74" ht="15.75" customHeight="1" x14ac:dyDescent="0.25">
      <c r="BS630" s="2"/>
      <c r="BT630" s="2"/>
      <c r="BU630" s="2"/>
      <c r="BV630" s="2"/>
    </row>
    <row r="631" spans="71:74" ht="15.75" customHeight="1" x14ac:dyDescent="0.25">
      <c r="BS631" s="2"/>
      <c r="BT631" s="2"/>
      <c r="BU631" s="2"/>
      <c r="BV631" s="2"/>
    </row>
    <row r="632" spans="71:74" ht="15.75" customHeight="1" x14ac:dyDescent="0.25">
      <c r="BS632" s="2"/>
      <c r="BT632" s="2"/>
      <c r="BU632" s="2"/>
      <c r="BV632" s="2"/>
    </row>
    <row r="633" spans="71:74" ht="15.75" customHeight="1" x14ac:dyDescent="0.25">
      <c r="BS633" s="2"/>
      <c r="BT633" s="2"/>
      <c r="BU633" s="2"/>
      <c r="BV633" s="2"/>
    </row>
    <row r="634" spans="71:74" ht="15.75" customHeight="1" x14ac:dyDescent="0.25">
      <c r="BS634" s="2"/>
      <c r="BT634" s="2"/>
      <c r="BU634" s="2"/>
      <c r="BV634" s="2"/>
    </row>
    <row r="635" spans="71:74" ht="15.75" customHeight="1" x14ac:dyDescent="0.25">
      <c r="BS635" s="2"/>
      <c r="BT635" s="2"/>
      <c r="BU635" s="2"/>
      <c r="BV635" s="2"/>
    </row>
    <row r="636" spans="71:74" ht="15.75" customHeight="1" x14ac:dyDescent="0.25">
      <c r="BS636" s="2"/>
      <c r="BT636" s="2"/>
      <c r="BU636" s="2"/>
      <c r="BV636" s="2"/>
    </row>
    <row r="637" spans="71:74" ht="15.75" customHeight="1" x14ac:dyDescent="0.25">
      <c r="BS637" s="2"/>
      <c r="BT637" s="2"/>
      <c r="BU637" s="2"/>
      <c r="BV637" s="2"/>
    </row>
    <row r="638" spans="71:74" ht="15.75" customHeight="1" x14ac:dyDescent="0.25">
      <c r="BS638" s="2"/>
      <c r="BT638" s="2"/>
      <c r="BU638" s="2"/>
      <c r="BV638" s="2"/>
    </row>
    <row r="639" spans="71:74" ht="15.75" customHeight="1" x14ac:dyDescent="0.25">
      <c r="BS639" s="2"/>
      <c r="BT639" s="2"/>
      <c r="BU639" s="2"/>
      <c r="BV639" s="2"/>
    </row>
    <row r="640" spans="71:74" ht="15.75" customHeight="1" x14ac:dyDescent="0.25">
      <c r="BS640" s="2"/>
      <c r="BT640" s="2"/>
      <c r="BU640" s="2"/>
      <c r="BV640" s="2"/>
    </row>
    <row r="641" spans="71:74" ht="15.75" customHeight="1" x14ac:dyDescent="0.25">
      <c r="BS641" s="2"/>
      <c r="BT641" s="2"/>
      <c r="BU641" s="2"/>
      <c r="BV641" s="2"/>
    </row>
    <row r="642" spans="71:74" ht="15.75" customHeight="1" x14ac:dyDescent="0.25">
      <c r="BS642" s="2"/>
      <c r="BT642" s="2"/>
      <c r="BU642" s="2"/>
      <c r="BV642" s="2"/>
    </row>
    <row r="643" spans="71:74" ht="15.75" customHeight="1" x14ac:dyDescent="0.25">
      <c r="BS643" s="2"/>
      <c r="BT643" s="2"/>
      <c r="BU643" s="2"/>
      <c r="BV643" s="2"/>
    </row>
    <row r="644" spans="71:74" ht="15.75" customHeight="1" x14ac:dyDescent="0.25">
      <c r="BS644" s="2"/>
      <c r="BT644" s="2"/>
      <c r="BU644" s="2"/>
      <c r="BV644" s="2"/>
    </row>
    <row r="645" spans="71:74" ht="15.75" customHeight="1" x14ac:dyDescent="0.25">
      <c r="BS645" s="2"/>
      <c r="BT645" s="2"/>
      <c r="BU645" s="2"/>
      <c r="BV645" s="2"/>
    </row>
    <row r="646" spans="71:74" ht="15.75" customHeight="1" x14ac:dyDescent="0.25">
      <c r="BS646" s="2"/>
      <c r="BT646" s="2"/>
      <c r="BU646" s="2"/>
      <c r="BV646" s="2"/>
    </row>
    <row r="647" spans="71:74" ht="15.75" customHeight="1" x14ac:dyDescent="0.25">
      <c r="BS647" s="2"/>
      <c r="BT647" s="2"/>
      <c r="BU647" s="2"/>
      <c r="BV647" s="2"/>
    </row>
    <row r="648" spans="71:74" ht="15.75" customHeight="1" x14ac:dyDescent="0.25">
      <c r="BS648" s="2"/>
      <c r="BT648" s="2"/>
      <c r="BU648" s="2"/>
      <c r="BV648" s="2"/>
    </row>
    <row r="649" spans="71:74" ht="15.75" customHeight="1" x14ac:dyDescent="0.25">
      <c r="BS649" s="2"/>
      <c r="BT649" s="2"/>
      <c r="BU649" s="2"/>
      <c r="BV649" s="2"/>
    </row>
    <row r="650" spans="71:74" ht="15.75" customHeight="1" x14ac:dyDescent="0.25">
      <c r="BS650" s="2"/>
      <c r="BT650" s="2"/>
      <c r="BU650" s="2"/>
      <c r="BV650" s="2"/>
    </row>
    <row r="651" spans="71:74" ht="15.75" customHeight="1" x14ac:dyDescent="0.25">
      <c r="BS651" s="2"/>
      <c r="BT651" s="2"/>
      <c r="BU651" s="2"/>
      <c r="BV651" s="2"/>
    </row>
    <row r="652" spans="71:74" ht="15.75" customHeight="1" x14ac:dyDescent="0.25">
      <c r="BS652" s="2"/>
      <c r="BT652" s="2"/>
      <c r="BU652" s="2"/>
      <c r="BV652" s="2"/>
    </row>
    <row r="653" spans="71:74" ht="15.75" customHeight="1" x14ac:dyDescent="0.25">
      <c r="BS653" s="2"/>
      <c r="BT653" s="2"/>
      <c r="BU653" s="2"/>
      <c r="BV653" s="2"/>
    </row>
    <row r="654" spans="71:74" ht="15.75" customHeight="1" x14ac:dyDescent="0.25">
      <c r="BS654" s="2"/>
      <c r="BT654" s="2"/>
      <c r="BU654" s="2"/>
      <c r="BV654" s="2"/>
    </row>
    <row r="655" spans="71:74" ht="15.75" customHeight="1" x14ac:dyDescent="0.25">
      <c r="BS655" s="2"/>
      <c r="BT655" s="2"/>
      <c r="BU655" s="2"/>
      <c r="BV655" s="2"/>
    </row>
    <row r="656" spans="71:74" ht="15.75" customHeight="1" x14ac:dyDescent="0.25">
      <c r="BS656" s="2"/>
      <c r="BT656" s="2"/>
      <c r="BU656" s="2"/>
      <c r="BV656" s="2"/>
    </row>
    <row r="657" spans="71:74" ht="15.75" customHeight="1" x14ac:dyDescent="0.25">
      <c r="BS657" s="2"/>
      <c r="BT657" s="2"/>
      <c r="BU657" s="2"/>
      <c r="BV657" s="2"/>
    </row>
    <row r="658" spans="71:74" ht="15.75" customHeight="1" x14ac:dyDescent="0.25">
      <c r="BS658" s="2"/>
      <c r="BT658" s="2"/>
      <c r="BU658" s="2"/>
      <c r="BV658" s="2"/>
    </row>
    <row r="659" spans="71:74" ht="15.75" customHeight="1" x14ac:dyDescent="0.25">
      <c r="BS659" s="2"/>
      <c r="BT659" s="2"/>
      <c r="BU659" s="2"/>
      <c r="BV659" s="2"/>
    </row>
    <row r="660" spans="71:74" ht="15.75" customHeight="1" x14ac:dyDescent="0.25">
      <c r="BS660" s="2"/>
      <c r="BT660" s="2"/>
      <c r="BU660" s="2"/>
      <c r="BV660" s="2"/>
    </row>
    <row r="661" spans="71:74" ht="15.75" customHeight="1" x14ac:dyDescent="0.25">
      <c r="BS661" s="2"/>
      <c r="BT661" s="2"/>
      <c r="BU661" s="2"/>
      <c r="BV661" s="2"/>
    </row>
    <row r="662" spans="71:74" ht="15.75" customHeight="1" x14ac:dyDescent="0.25">
      <c r="BS662" s="2"/>
      <c r="BT662" s="2"/>
      <c r="BU662" s="2"/>
      <c r="BV662" s="2"/>
    </row>
    <row r="663" spans="71:74" ht="15.75" customHeight="1" x14ac:dyDescent="0.25">
      <c r="BS663" s="2"/>
      <c r="BT663" s="2"/>
      <c r="BU663" s="2"/>
      <c r="BV663" s="2"/>
    </row>
    <row r="664" spans="71:74" ht="15.75" customHeight="1" x14ac:dyDescent="0.25">
      <c r="BS664" s="2"/>
      <c r="BT664" s="2"/>
      <c r="BU664" s="2"/>
      <c r="BV664" s="2"/>
    </row>
    <row r="665" spans="71:74" ht="15.75" customHeight="1" x14ac:dyDescent="0.25">
      <c r="BS665" s="2"/>
      <c r="BT665" s="2"/>
      <c r="BU665" s="2"/>
      <c r="BV665" s="2"/>
    </row>
    <row r="666" spans="71:74" ht="15.75" customHeight="1" x14ac:dyDescent="0.25">
      <c r="BS666" s="2"/>
      <c r="BT666" s="2"/>
      <c r="BU666" s="2"/>
      <c r="BV666" s="2"/>
    </row>
    <row r="667" spans="71:74" ht="15.75" customHeight="1" x14ac:dyDescent="0.25">
      <c r="BS667" s="2"/>
      <c r="BT667" s="2"/>
      <c r="BU667" s="2"/>
      <c r="BV667" s="2"/>
    </row>
    <row r="668" spans="71:74" ht="15.75" customHeight="1" x14ac:dyDescent="0.25">
      <c r="BS668" s="2"/>
      <c r="BT668" s="2"/>
      <c r="BU668" s="2"/>
      <c r="BV668" s="2"/>
    </row>
    <row r="669" spans="71:74" ht="15.75" customHeight="1" x14ac:dyDescent="0.25">
      <c r="BS669" s="2"/>
      <c r="BT669" s="2"/>
      <c r="BU669" s="2"/>
      <c r="BV669" s="2"/>
    </row>
    <row r="670" spans="71:74" ht="15.75" customHeight="1" x14ac:dyDescent="0.25">
      <c r="BS670" s="2"/>
      <c r="BT670" s="2"/>
      <c r="BU670" s="2"/>
      <c r="BV670" s="2"/>
    </row>
    <row r="671" spans="71:74" ht="15.75" customHeight="1" x14ac:dyDescent="0.25">
      <c r="BS671" s="2"/>
      <c r="BT671" s="2"/>
      <c r="BU671" s="2"/>
      <c r="BV671" s="2"/>
    </row>
    <row r="672" spans="71:74" ht="15.75" customHeight="1" x14ac:dyDescent="0.25">
      <c r="BS672" s="2"/>
      <c r="BT672" s="2"/>
      <c r="BU672" s="2"/>
      <c r="BV672" s="2"/>
    </row>
    <row r="673" spans="71:74" ht="15.75" customHeight="1" x14ac:dyDescent="0.25">
      <c r="BS673" s="2"/>
      <c r="BT673" s="2"/>
      <c r="BU673" s="2"/>
      <c r="BV673" s="2"/>
    </row>
    <row r="674" spans="71:74" ht="15.75" customHeight="1" x14ac:dyDescent="0.25">
      <c r="BS674" s="2"/>
      <c r="BT674" s="2"/>
      <c r="BU674" s="2"/>
      <c r="BV674" s="2"/>
    </row>
    <row r="675" spans="71:74" ht="15.75" customHeight="1" x14ac:dyDescent="0.25">
      <c r="BS675" s="2"/>
      <c r="BT675" s="2"/>
      <c r="BU675" s="2"/>
      <c r="BV675" s="2"/>
    </row>
    <row r="676" spans="71:74" ht="15.75" customHeight="1" x14ac:dyDescent="0.25">
      <c r="BS676" s="2"/>
      <c r="BT676" s="2"/>
      <c r="BU676" s="2"/>
      <c r="BV676" s="2"/>
    </row>
    <row r="677" spans="71:74" ht="15.75" customHeight="1" x14ac:dyDescent="0.25">
      <c r="BS677" s="2"/>
      <c r="BT677" s="2"/>
      <c r="BU677" s="2"/>
      <c r="BV677" s="2"/>
    </row>
    <row r="678" spans="71:74" ht="15.75" customHeight="1" x14ac:dyDescent="0.25">
      <c r="BS678" s="2"/>
      <c r="BT678" s="2"/>
      <c r="BU678" s="2"/>
      <c r="BV678" s="2"/>
    </row>
    <row r="679" spans="71:74" ht="15.75" customHeight="1" x14ac:dyDescent="0.25">
      <c r="BS679" s="2"/>
      <c r="BT679" s="2"/>
      <c r="BU679" s="2"/>
      <c r="BV679" s="2"/>
    </row>
    <row r="680" spans="71:74" ht="15.75" customHeight="1" x14ac:dyDescent="0.25">
      <c r="BS680" s="2"/>
      <c r="BT680" s="2"/>
      <c r="BU680" s="2"/>
      <c r="BV680" s="2"/>
    </row>
    <row r="681" spans="71:74" ht="15.75" customHeight="1" x14ac:dyDescent="0.25">
      <c r="BS681" s="2"/>
      <c r="BT681" s="2"/>
      <c r="BU681" s="2"/>
      <c r="BV681" s="2"/>
    </row>
    <row r="682" spans="71:74" ht="15.75" customHeight="1" x14ac:dyDescent="0.25">
      <c r="BS682" s="2"/>
      <c r="BT682" s="2"/>
      <c r="BU682" s="2"/>
      <c r="BV682" s="2"/>
    </row>
    <row r="683" spans="71:74" ht="15.75" customHeight="1" x14ac:dyDescent="0.25">
      <c r="BS683" s="2"/>
      <c r="BT683" s="2"/>
      <c r="BU683" s="2"/>
      <c r="BV683" s="2"/>
    </row>
    <row r="684" spans="71:74" ht="15.75" customHeight="1" x14ac:dyDescent="0.25">
      <c r="BS684" s="2"/>
      <c r="BT684" s="2"/>
      <c r="BU684" s="2"/>
      <c r="BV684" s="2"/>
    </row>
    <row r="685" spans="71:74" ht="15.75" customHeight="1" x14ac:dyDescent="0.25">
      <c r="BS685" s="2"/>
      <c r="BT685" s="2"/>
      <c r="BU685" s="2"/>
      <c r="BV685" s="2"/>
    </row>
    <row r="686" spans="71:74" ht="15.75" customHeight="1" x14ac:dyDescent="0.25">
      <c r="BS686" s="2"/>
      <c r="BT686" s="2"/>
      <c r="BU686" s="2"/>
      <c r="BV686" s="2"/>
    </row>
    <row r="687" spans="71:74" ht="15.75" customHeight="1" x14ac:dyDescent="0.25">
      <c r="BS687" s="2"/>
      <c r="BT687" s="2"/>
      <c r="BU687" s="2"/>
      <c r="BV687" s="2"/>
    </row>
    <row r="688" spans="71:74" ht="15.75" customHeight="1" x14ac:dyDescent="0.25">
      <c r="BS688" s="2"/>
      <c r="BT688" s="2"/>
      <c r="BU688" s="2"/>
      <c r="BV688" s="2"/>
    </row>
    <row r="689" spans="71:74" ht="15.75" customHeight="1" x14ac:dyDescent="0.25">
      <c r="BS689" s="2"/>
      <c r="BT689" s="2"/>
      <c r="BU689" s="2"/>
      <c r="BV689" s="2"/>
    </row>
    <row r="690" spans="71:74" ht="15.75" customHeight="1" x14ac:dyDescent="0.25">
      <c r="BS690" s="2"/>
      <c r="BT690" s="2"/>
      <c r="BU690" s="2"/>
      <c r="BV690" s="2"/>
    </row>
    <row r="691" spans="71:74" ht="15.75" customHeight="1" x14ac:dyDescent="0.25">
      <c r="BS691" s="2"/>
      <c r="BT691" s="2"/>
      <c r="BU691" s="2"/>
      <c r="BV691" s="2"/>
    </row>
    <row r="692" spans="71:74" ht="15.75" customHeight="1" x14ac:dyDescent="0.25">
      <c r="BS692" s="2"/>
      <c r="BT692" s="2"/>
      <c r="BU692" s="2"/>
      <c r="BV692" s="2"/>
    </row>
    <row r="693" spans="71:74" ht="15.75" customHeight="1" x14ac:dyDescent="0.25">
      <c r="BS693" s="2"/>
      <c r="BT693" s="2"/>
      <c r="BU693" s="2"/>
      <c r="BV693" s="2"/>
    </row>
    <row r="694" spans="71:74" ht="15.75" customHeight="1" x14ac:dyDescent="0.25">
      <c r="BS694" s="2"/>
      <c r="BT694" s="2"/>
      <c r="BU694" s="2"/>
      <c r="BV694" s="2"/>
    </row>
    <row r="695" spans="71:74" ht="15.75" customHeight="1" x14ac:dyDescent="0.25">
      <c r="BS695" s="2"/>
      <c r="BT695" s="2"/>
      <c r="BU695" s="2"/>
      <c r="BV695" s="2"/>
    </row>
    <row r="696" spans="71:74" ht="15.75" customHeight="1" x14ac:dyDescent="0.25">
      <c r="BS696" s="2"/>
      <c r="BT696" s="2"/>
      <c r="BU696" s="2"/>
      <c r="BV696" s="2"/>
    </row>
    <row r="697" spans="71:74" ht="15.75" customHeight="1" x14ac:dyDescent="0.25">
      <c r="BS697" s="2"/>
      <c r="BT697" s="2"/>
      <c r="BU697" s="2"/>
      <c r="BV697" s="2"/>
    </row>
    <row r="698" spans="71:74" ht="15.75" customHeight="1" x14ac:dyDescent="0.25">
      <c r="BS698" s="2"/>
      <c r="BT698" s="2"/>
      <c r="BU698" s="2"/>
      <c r="BV698" s="2"/>
    </row>
    <row r="699" spans="71:74" ht="15.75" customHeight="1" x14ac:dyDescent="0.25">
      <c r="BS699" s="2"/>
      <c r="BT699" s="2"/>
      <c r="BU699" s="2"/>
      <c r="BV699" s="2"/>
    </row>
    <row r="700" spans="71:74" ht="15.75" customHeight="1" x14ac:dyDescent="0.25">
      <c r="BS700" s="2"/>
      <c r="BT700" s="2"/>
      <c r="BU700" s="2"/>
      <c r="BV700" s="2"/>
    </row>
    <row r="701" spans="71:74" ht="15.75" customHeight="1" x14ac:dyDescent="0.25">
      <c r="BS701" s="2"/>
      <c r="BT701" s="2"/>
      <c r="BU701" s="2"/>
      <c r="BV701" s="2"/>
    </row>
    <row r="702" spans="71:74" ht="15.75" customHeight="1" x14ac:dyDescent="0.25">
      <c r="BS702" s="2"/>
      <c r="BT702" s="2"/>
      <c r="BU702" s="2"/>
      <c r="BV702" s="2"/>
    </row>
    <row r="703" spans="71:74" ht="15.75" customHeight="1" x14ac:dyDescent="0.25">
      <c r="BS703" s="2"/>
      <c r="BT703" s="2"/>
      <c r="BU703" s="2"/>
      <c r="BV703" s="2"/>
    </row>
    <row r="704" spans="71:74" ht="15.75" customHeight="1" x14ac:dyDescent="0.25">
      <c r="BS704" s="2"/>
      <c r="BT704" s="2"/>
      <c r="BU704" s="2"/>
      <c r="BV704" s="2"/>
    </row>
    <row r="705" spans="71:74" ht="15.75" customHeight="1" x14ac:dyDescent="0.25">
      <c r="BS705" s="2"/>
      <c r="BT705" s="2"/>
      <c r="BU705" s="2"/>
      <c r="BV705" s="2"/>
    </row>
    <row r="706" spans="71:74" ht="15.75" customHeight="1" x14ac:dyDescent="0.25">
      <c r="BS706" s="2"/>
      <c r="BT706" s="2"/>
      <c r="BU706" s="2"/>
      <c r="BV706" s="2"/>
    </row>
    <row r="707" spans="71:74" ht="15.75" customHeight="1" x14ac:dyDescent="0.25">
      <c r="BS707" s="2"/>
      <c r="BT707" s="2"/>
      <c r="BU707" s="2"/>
      <c r="BV707" s="2"/>
    </row>
    <row r="708" spans="71:74" ht="15.75" customHeight="1" x14ac:dyDescent="0.25">
      <c r="BS708" s="2"/>
      <c r="BT708" s="2"/>
      <c r="BU708" s="2"/>
      <c r="BV708" s="2"/>
    </row>
    <row r="709" spans="71:74" ht="15.75" customHeight="1" x14ac:dyDescent="0.25">
      <c r="BS709" s="2"/>
      <c r="BT709" s="2"/>
      <c r="BU709" s="2"/>
      <c r="BV709" s="2"/>
    </row>
    <row r="710" spans="71:74" ht="15.75" customHeight="1" x14ac:dyDescent="0.25">
      <c r="BS710" s="2"/>
      <c r="BT710" s="2"/>
      <c r="BU710" s="2"/>
      <c r="BV710" s="2"/>
    </row>
    <row r="711" spans="71:74" ht="15.75" customHeight="1" x14ac:dyDescent="0.25">
      <c r="BS711" s="2"/>
      <c r="BT711" s="2"/>
      <c r="BU711" s="2"/>
      <c r="BV711" s="2"/>
    </row>
    <row r="712" spans="71:74" ht="15.75" customHeight="1" x14ac:dyDescent="0.25">
      <c r="BS712" s="2"/>
      <c r="BT712" s="2"/>
      <c r="BU712" s="2"/>
      <c r="BV712" s="2"/>
    </row>
    <row r="713" spans="71:74" ht="15.75" customHeight="1" x14ac:dyDescent="0.25">
      <c r="BS713" s="2"/>
      <c r="BT713" s="2"/>
      <c r="BU713" s="2"/>
      <c r="BV713" s="2"/>
    </row>
    <row r="714" spans="71:74" ht="15.75" customHeight="1" x14ac:dyDescent="0.25">
      <c r="BS714" s="2"/>
      <c r="BT714" s="2"/>
      <c r="BU714" s="2"/>
      <c r="BV714" s="2"/>
    </row>
    <row r="715" spans="71:74" ht="15.75" customHeight="1" x14ac:dyDescent="0.25">
      <c r="BS715" s="2"/>
      <c r="BT715" s="2"/>
      <c r="BU715" s="2"/>
      <c r="BV715" s="2"/>
    </row>
    <row r="716" spans="71:74" ht="15.75" customHeight="1" x14ac:dyDescent="0.25">
      <c r="BS716" s="2"/>
      <c r="BT716" s="2"/>
      <c r="BU716" s="2"/>
      <c r="BV716" s="2"/>
    </row>
    <row r="717" spans="71:74" ht="15.75" customHeight="1" x14ac:dyDescent="0.25">
      <c r="BS717" s="2"/>
      <c r="BT717" s="2"/>
      <c r="BU717" s="2"/>
      <c r="BV717" s="2"/>
    </row>
    <row r="718" spans="71:74" ht="15.75" customHeight="1" x14ac:dyDescent="0.25">
      <c r="BS718" s="2"/>
      <c r="BT718" s="2"/>
      <c r="BU718" s="2"/>
      <c r="BV718" s="2"/>
    </row>
    <row r="719" spans="71:74" ht="15.75" customHeight="1" x14ac:dyDescent="0.25">
      <c r="BS719" s="2"/>
      <c r="BT719" s="2"/>
      <c r="BU719" s="2"/>
      <c r="BV719" s="2"/>
    </row>
    <row r="720" spans="71:74" ht="15.75" customHeight="1" x14ac:dyDescent="0.25">
      <c r="BS720" s="2"/>
      <c r="BT720" s="2"/>
      <c r="BU720" s="2"/>
      <c r="BV720" s="2"/>
    </row>
    <row r="721" spans="71:74" ht="15.75" customHeight="1" x14ac:dyDescent="0.25">
      <c r="BS721" s="2"/>
      <c r="BT721" s="2"/>
      <c r="BU721" s="2"/>
      <c r="BV721" s="2"/>
    </row>
    <row r="722" spans="71:74" ht="15.75" customHeight="1" x14ac:dyDescent="0.25">
      <c r="BS722" s="2"/>
      <c r="BT722" s="2"/>
      <c r="BU722" s="2"/>
      <c r="BV722" s="2"/>
    </row>
    <row r="723" spans="71:74" ht="15.75" customHeight="1" x14ac:dyDescent="0.25">
      <c r="BS723" s="2"/>
      <c r="BT723" s="2"/>
      <c r="BU723" s="2"/>
      <c r="BV723" s="2"/>
    </row>
    <row r="724" spans="71:74" ht="15.75" customHeight="1" x14ac:dyDescent="0.25">
      <c r="BS724" s="2"/>
      <c r="BT724" s="2"/>
      <c r="BU724" s="2"/>
      <c r="BV724" s="2"/>
    </row>
    <row r="725" spans="71:74" ht="15.75" customHeight="1" x14ac:dyDescent="0.25">
      <c r="BS725" s="2"/>
      <c r="BT725" s="2"/>
      <c r="BU725" s="2"/>
      <c r="BV725" s="2"/>
    </row>
    <row r="726" spans="71:74" ht="15.75" customHeight="1" x14ac:dyDescent="0.25">
      <c r="BS726" s="2"/>
      <c r="BT726" s="2"/>
      <c r="BU726" s="2"/>
      <c r="BV726" s="2"/>
    </row>
    <row r="727" spans="71:74" ht="15.75" customHeight="1" x14ac:dyDescent="0.25">
      <c r="BS727" s="2"/>
      <c r="BT727" s="2"/>
      <c r="BU727" s="2"/>
      <c r="BV727" s="2"/>
    </row>
    <row r="728" spans="71:74" ht="15.75" customHeight="1" x14ac:dyDescent="0.25">
      <c r="BS728" s="2"/>
      <c r="BT728" s="2"/>
      <c r="BU728" s="2"/>
      <c r="BV728" s="2"/>
    </row>
    <row r="729" spans="71:74" ht="15.75" customHeight="1" x14ac:dyDescent="0.25">
      <c r="BS729" s="2"/>
      <c r="BT729" s="2"/>
      <c r="BU729" s="2"/>
      <c r="BV729" s="2"/>
    </row>
    <row r="730" spans="71:74" ht="15.75" customHeight="1" x14ac:dyDescent="0.25">
      <c r="BS730" s="2"/>
      <c r="BT730" s="2"/>
      <c r="BU730" s="2"/>
      <c r="BV730" s="2"/>
    </row>
    <row r="731" spans="71:74" ht="15.75" customHeight="1" x14ac:dyDescent="0.25">
      <c r="BS731" s="2"/>
      <c r="BT731" s="2"/>
      <c r="BU731" s="2"/>
      <c r="BV731" s="2"/>
    </row>
    <row r="732" spans="71:74" ht="15.75" customHeight="1" x14ac:dyDescent="0.25">
      <c r="BS732" s="2"/>
      <c r="BT732" s="2"/>
      <c r="BU732" s="2"/>
      <c r="BV732" s="2"/>
    </row>
    <row r="733" spans="71:74" ht="15.75" customHeight="1" x14ac:dyDescent="0.25">
      <c r="BS733" s="2"/>
      <c r="BT733" s="2"/>
      <c r="BU733" s="2"/>
      <c r="BV733" s="2"/>
    </row>
    <row r="734" spans="71:74" ht="15.75" customHeight="1" x14ac:dyDescent="0.25">
      <c r="BS734" s="2"/>
      <c r="BT734" s="2"/>
      <c r="BU734" s="2"/>
      <c r="BV734" s="2"/>
    </row>
    <row r="735" spans="71:74" ht="15.75" customHeight="1" x14ac:dyDescent="0.25">
      <c r="BS735" s="2"/>
      <c r="BT735" s="2"/>
      <c r="BU735" s="2"/>
      <c r="BV735" s="2"/>
    </row>
    <row r="736" spans="71:74" ht="15.75" customHeight="1" x14ac:dyDescent="0.25">
      <c r="BS736" s="2"/>
      <c r="BT736" s="2"/>
      <c r="BU736" s="2"/>
      <c r="BV736" s="2"/>
    </row>
    <row r="737" spans="71:74" ht="15.75" customHeight="1" x14ac:dyDescent="0.25">
      <c r="BS737" s="2"/>
      <c r="BT737" s="2"/>
      <c r="BU737" s="2"/>
      <c r="BV737" s="2"/>
    </row>
    <row r="738" spans="71:74" ht="15.75" customHeight="1" x14ac:dyDescent="0.25">
      <c r="BS738" s="2"/>
      <c r="BT738" s="2"/>
      <c r="BU738" s="2"/>
      <c r="BV738" s="2"/>
    </row>
    <row r="739" spans="71:74" ht="15.75" customHeight="1" x14ac:dyDescent="0.25">
      <c r="BS739" s="2"/>
      <c r="BT739" s="2"/>
      <c r="BU739" s="2"/>
      <c r="BV739" s="2"/>
    </row>
    <row r="740" spans="71:74" ht="15.75" customHeight="1" x14ac:dyDescent="0.25">
      <c r="BS740" s="2"/>
      <c r="BT740" s="2"/>
      <c r="BU740" s="2"/>
      <c r="BV740" s="2"/>
    </row>
    <row r="741" spans="71:74" ht="15.75" customHeight="1" x14ac:dyDescent="0.25">
      <c r="BS741" s="2"/>
      <c r="BT741" s="2"/>
      <c r="BU741" s="2"/>
      <c r="BV741" s="2"/>
    </row>
    <row r="742" spans="71:74" ht="15.75" customHeight="1" x14ac:dyDescent="0.25">
      <c r="BS742" s="2"/>
      <c r="BT742" s="2"/>
      <c r="BU742" s="2"/>
      <c r="BV742" s="2"/>
    </row>
    <row r="743" spans="71:74" ht="15.75" customHeight="1" x14ac:dyDescent="0.25">
      <c r="BS743" s="2"/>
      <c r="BT743" s="2"/>
      <c r="BU743" s="2"/>
      <c r="BV743" s="2"/>
    </row>
    <row r="744" spans="71:74" ht="15.75" customHeight="1" x14ac:dyDescent="0.25">
      <c r="BS744" s="2"/>
      <c r="BT744" s="2"/>
      <c r="BU744" s="2"/>
      <c r="BV744" s="2"/>
    </row>
    <row r="745" spans="71:74" ht="15.75" customHeight="1" x14ac:dyDescent="0.25">
      <c r="BS745" s="2"/>
      <c r="BT745" s="2"/>
      <c r="BU745" s="2"/>
      <c r="BV745" s="2"/>
    </row>
    <row r="746" spans="71:74" ht="15.75" customHeight="1" x14ac:dyDescent="0.25">
      <c r="BS746" s="2"/>
      <c r="BT746" s="2"/>
      <c r="BU746" s="2"/>
      <c r="BV746" s="2"/>
    </row>
    <row r="747" spans="71:74" ht="15.75" customHeight="1" x14ac:dyDescent="0.25">
      <c r="BS747" s="2"/>
      <c r="BT747" s="2"/>
      <c r="BU747" s="2"/>
      <c r="BV747" s="2"/>
    </row>
    <row r="748" spans="71:74" ht="15.75" customHeight="1" x14ac:dyDescent="0.25">
      <c r="BS748" s="2"/>
      <c r="BT748" s="2"/>
      <c r="BU748" s="2"/>
      <c r="BV748" s="2"/>
    </row>
    <row r="749" spans="71:74" ht="15.75" customHeight="1" x14ac:dyDescent="0.25">
      <c r="BS749" s="2"/>
      <c r="BT749" s="2"/>
      <c r="BU749" s="2"/>
      <c r="BV749" s="2"/>
    </row>
    <row r="750" spans="71:74" ht="15.75" customHeight="1" x14ac:dyDescent="0.25">
      <c r="BS750" s="2"/>
      <c r="BT750" s="2"/>
      <c r="BU750" s="2"/>
      <c r="BV750" s="2"/>
    </row>
    <row r="751" spans="71:74" ht="15.75" customHeight="1" x14ac:dyDescent="0.25">
      <c r="BS751" s="2"/>
      <c r="BT751" s="2"/>
      <c r="BU751" s="2"/>
      <c r="BV751" s="2"/>
    </row>
    <row r="752" spans="71:74" ht="15.75" customHeight="1" x14ac:dyDescent="0.25">
      <c r="BS752" s="2"/>
      <c r="BT752" s="2"/>
      <c r="BU752" s="2"/>
      <c r="BV752" s="2"/>
    </row>
    <row r="753" spans="71:74" ht="15.75" customHeight="1" x14ac:dyDescent="0.25">
      <c r="BS753" s="2"/>
      <c r="BT753" s="2"/>
      <c r="BU753" s="2"/>
      <c r="BV753" s="2"/>
    </row>
    <row r="754" spans="71:74" ht="15.75" customHeight="1" x14ac:dyDescent="0.25">
      <c r="BS754" s="2"/>
      <c r="BT754" s="2"/>
      <c r="BU754" s="2"/>
      <c r="BV754" s="2"/>
    </row>
    <row r="755" spans="71:74" ht="15.75" customHeight="1" x14ac:dyDescent="0.25">
      <c r="BS755" s="2"/>
      <c r="BT755" s="2"/>
      <c r="BU755" s="2"/>
      <c r="BV755" s="2"/>
    </row>
    <row r="756" spans="71:74" ht="15.75" customHeight="1" x14ac:dyDescent="0.25">
      <c r="BS756" s="2"/>
      <c r="BT756" s="2"/>
      <c r="BU756" s="2"/>
      <c r="BV756" s="2"/>
    </row>
    <row r="757" spans="71:74" ht="15.75" customHeight="1" x14ac:dyDescent="0.25">
      <c r="BS757" s="2"/>
      <c r="BT757" s="2"/>
      <c r="BU757" s="2"/>
      <c r="BV757" s="2"/>
    </row>
    <row r="758" spans="71:74" ht="15.75" customHeight="1" x14ac:dyDescent="0.25">
      <c r="BS758" s="2"/>
      <c r="BT758" s="2"/>
      <c r="BU758" s="2"/>
      <c r="BV758" s="2"/>
    </row>
    <row r="759" spans="71:74" ht="15.75" customHeight="1" x14ac:dyDescent="0.25">
      <c r="BS759" s="2"/>
      <c r="BT759" s="2"/>
      <c r="BU759" s="2"/>
      <c r="BV759" s="2"/>
    </row>
    <row r="760" spans="71:74" ht="15.75" customHeight="1" x14ac:dyDescent="0.25">
      <c r="BS760" s="2"/>
      <c r="BT760" s="2"/>
      <c r="BU760" s="2"/>
      <c r="BV760" s="2"/>
    </row>
    <row r="761" spans="71:74" ht="15.75" customHeight="1" x14ac:dyDescent="0.25">
      <c r="BS761" s="2"/>
      <c r="BT761" s="2"/>
      <c r="BU761" s="2"/>
      <c r="BV761" s="2"/>
    </row>
    <row r="762" spans="71:74" ht="15.75" customHeight="1" x14ac:dyDescent="0.25">
      <c r="BS762" s="2"/>
      <c r="BT762" s="2"/>
      <c r="BU762" s="2"/>
      <c r="BV762" s="2"/>
    </row>
    <row r="763" spans="71:74" ht="15.75" customHeight="1" x14ac:dyDescent="0.25">
      <c r="BS763" s="2"/>
      <c r="BT763" s="2"/>
      <c r="BU763" s="2"/>
      <c r="BV763" s="2"/>
    </row>
    <row r="764" spans="71:74" ht="15.75" customHeight="1" x14ac:dyDescent="0.25">
      <c r="BS764" s="2"/>
      <c r="BT764" s="2"/>
      <c r="BU764" s="2"/>
      <c r="BV764" s="2"/>
    </row>
    <row r="765" spans="71:74" ht="15.75" customHeight="1" x14ac:dyDescent="0.25">
      <c r="BS765" s="2"/>
      <c r="BT765" s="2"/>
      <c r="BU765" s="2"/>
      <c r="BV765" s="2"/>
    </row>
    <row r="766" spans="71:74" ht="15.75" customHeight="1" x14ac:dyDescent="0.25">
      <c r="BS766" s="2"/>
      <c r="BT766" s="2"/>
      <c r="BU766" s="2"/>
      <c r="BV766" s="2"/>
    </row>
    <row r="767" spans="71:74" ht="15.75" customHeight="1" x14ac:dyDescent="0.25">
      <c r="BS767" s="2"/>
      <c r="BT767" s="2"/>
      <c r="BU767" s="2"/>
      <c r="BV767" s="2"/>
    </row>
    <row r="768" spans="71:74" ht="15.75" customHeight="1" x14ac:dyDescent="0.25">
      <c r="BS768" s="2"/>
      <c r="BT768" s="2"/>
      <c r="BU768" s="2"/>
      <c r="BV768" s="2"/>
    </row>
    <row r="769" spans="71:74" ht="15.75" customHeight="1" x14ac:dyDescent="0.25">
      <c r="BS769" s="2"/>
      <c r="BT769" s="2"/>
      <c r="BU769" s="2"/>
      <c r="BV769" s="2"/>
    </row>
    <row r="770" spans="71:74" ht="15.75" customHeight="1" x14ac:dyDescent="0.25">
      <c r="BS770" s="2"/>
      <c r="BT770" s="2"/>
      <c r="BU770" s="2"/>
      <c r="BV770" s="2"/>
    </row>
    <row r="771" spans="71:74" ht="15.75" customHeight="1" x14ac:dyDescent="0.25">
      <c r="BS771" s="2"/>
      <c r="BT771" s="2"/>
      <c r="BU771" s="2"/>
      <c r="BV771" s="2"/>
    </row>
    <row r="772" spans="71:74" ht="15.75" customHeight="1" x14ac:dyDescent="0.25">
      <c r="BS772" s="2"/>
      <c r="BT772" s="2"/>
      <c r="BU772" s="2"/>
      <c r="BV772" s="2"/>
    </row>
    <row r="773" spans="71:74" ht="15.75" customHeight="1" x14ac:dyDescent="0.25">
      <c r="BS773" s="2"/>
      <c r="BT773" s="2"/>
      <c r="BU773" s="2"/>
      <c r="BV773" s="2"/>
    </row>
    <row r="774" spans="71:74" ht="15.75" customHeight="1" x14ac:dyDescent="0.25">
      <c r="BS774" s="2"/>
      <c r="BT774" s="2"/>
      <c r="BU774" s="2"/>
      <c r="BV774" s="2"/>
    </row>
    <row r="775" spans="71:74" ht="15.75" customHeight="1" x14ac:dyDescent="0.25">
      <c r="BS775" s="2"/>
      <c r="BT775" s="2"/>
      <c r="BU775" s="2"/>
      <c r="BV775" s="2"/>
    </row>
    <row r="776" spans="71:74" ht="15.75" customHeight="1" x14ac:dyDescent="0.25">
      <c r="BS776" s="2"/>
      <c r="BT776" s="2"/>
      <c r="BU776" s="2"/>
      <c r="BV776" s="2"/>
    </row>
    <row r="777" spans="71:74" ht="15.75" customHeight="1" x14ac:dyDescent="0.25">
      <c r="BS777" s="2"/>
      <c r="BT777" s="2"/>
      <c r="BU777" s="2"/>
      <c r="BV777" s="2"/>
    </row>
    <row r="778" spans="71:74" ht="15.75" customHeight="1" x14ac:dyDescent="0.25">
      <c r="BS778" s="2"/>
      <c r="BT778" s="2"/>
      <c r="BU778" s="2"/>
      <c r="BV778" s="2"/>
    </row>
    <row r="779" spans="71:74" ht="15.75" customHeight="1" x14ac:dyDescent="0.25">
      <c r="BS779" s="2"/>
      <c r="BT779" s="2"/>
      <c r="BU779" s="2"/>
      <c r="BV779" s="2"/>
    </row>
    <row r="780" spans="71:74" ht="15.75" customHeight="1" x14ac:dyDescent="0.25">
      <c r="BS780" s="2"/>
      <c r="BT780" s="2"/>
      <c r="BU780" s="2"/>
      <c r="BV780" s="2"/>
    </row>
    <row r="781" spans="71:74" ht="15.75" customHeight="1" x14ac:dyDescent="0.25">
      <c r="BS781" s="2"/>
      <c r="BT781" s="2"/>
      <c r="BU781" s="2"/>
      <c r="BV781" s="2"/>
    </row>
    <row r="782" spans="71:74" ht="15.75" customHeight="1" x14ac:dyDescent="0.25">
      <c r="BS782" s="2"/>
      <c r="BT782" s="2"/>
      <c r="BU782" s="2"/>
      <c r="BV782" s="2"/>
    </row>
    <row r="783" spans="71:74" ht="15.75" customHeight="1" x14ac:dyDescent="0.25">
      <c r="BS783" s="2"/>
      <c r="BT783" s="2"/>
      <c r="BU783" s="2"/>
      <c r="BV783" s="2"/>
    </row>
    <row r="784" spans="71:74" ht="15.75" customHeight="1" x14ac:dyDescent="0.25">
      <c r="BS784" s="2"/>
      <c r="BT784" s="2"/>
      <c r="BU784" s="2"/>
      <c r="BV784" s="2"/>
    </row>
    <row r="785" spans="71:74" ht="15.75" customHeight="1" x14ac:dyDescent="0.25">
      <c r="BS785" s="2"/>
      <c r="BT785" s="2"/>
      <c r="BU785" s="2"/>
      <c r="BV785" s="2"/>
    </row>
    <row r="786" spans="71:74" ht="15.75" customHeight="1" x14ac:dyDescent="0.25">
      <c r="BS786" s="2"/>
      <c r="BT786" s="2"/>
      <c r="BU786" s="2"/>
      <c r="BV786" s="2"/>
    </row>
    <row r="787" spans="71:74" ht="15.75" customHeight="1" x14ac:dyDescent="0.25">
      <c r="BS787" s="2"/>
      <c r="BT787" s="2"/>
      <c r="BU787" s="2"/>
      <c r="BV787" s="2"/>
    </row>
    <row r="788" spans="71:74" ht="15.75" customHeight="1" x14ac:dyDescent="0.25">
      <c r="BS788" s="2"/>
      <c r="BT788" s="2"/>
      <c r="BU788" s="2"/>
      <c r="BV788" s="2"/>
    </row>
    <row r="789" spans="71:74" ht="15.75" customHeight="1" x14ac:dyDescent="0.25">
      <c r="BS789" s="2"/>
      <c r="BT789" s="2"/>
      <c r="BU789" s="2"/>
      <c r="BV789" s="2"/>
    </row>
    <row r="790" spans="71:74" ht="15.75" customHeight="1" x14ac:dyDescent="0.25">
      <c r="BS790" s="2"/>
      <c r="BT790" s="2"/>
      <c r="BU790" s="2"/>
      <c r="BV790" s="2"/>
    </row>
    <row r="791" spans="71:74" ht="15.75" customHeight="1" x14ac:dyDescent="0.25">
      <c r="BS791" s="2"/>
      <c r="BT791" s="2"/>
      <c r="BU791" s="2"/>
      <c r="BV791" s="2"/>
    </row>
    <row r="792" spans="71:74" ht="15.75" customHeight="1" x14ac:dyDescent="0.25">
      <c r="BS792" s="2"/>
      <c r="BT792" s="2"/>
      <c r="BU792" s="2"/>
      <c r="BV792" s="2"/>
    </row>
    <row r="793" spans="71:74" ht="15.75" customHeight="1" x14ac:dyDescent="0.25">
      <c r="BS793" s="2"/>
      <c r="BT793" s="2"/>
      <c r="BU793" s="2"/>
      <c r="BV793" s="2"/>
    </row>
    <row r="794" spans="71:74" ht="15.75" customHeight="1" x14ac:dyDescent="0.25">
      <c r="BS794" s="2"/>
      <c r="BT794" s="2"/>
      <c r="BU794" s="2"/>
      <c r="BV794" s="2"/>
    </row>
    <row r="795" spans="71:74" ht="15.75" customHeight="1" x14ac:dyDescent="0.25">
      <c r="BS795" s="2"/>
      <c r="BT795" s="2"/>
      <c r="BU795" s="2"/>
      <c r="BV795" s="2"/>
    </row>
    <row r="796" spans="71:74" ht="15.75" customHeight="1" x14ac:dyDescent="0.25">
      <c r="BS796" s="2"/>
      <c r="BT796" s="2"/>
      <c r="BU796" s="2"/>
      <c r="BV796" s="2"/>
    </row>
    <row r="797" spans="71:74" ht="15.75" customHeight="1" x14ac:dyDescent="0.25">
      <c r="BS797" s="2"/>
      <c r="BT797" s="2"/>
      <c r="BU797" s="2"/>
      <c r="BV797" s="2"/>
    </row>
    <row r="798" spans="71:74" ht="15.75" customHeight="1" x14ac:dyDescent="0.25">
      <c r="BS798" s="2"/>
      <c r="BT798" s="2"/>
      <c r="BU798" s="2"/>
      <c r="BV798" s="2"/>
    </row>
    <row r="799" spans="71:74" ht="15.75" customHeight="1" x14ac:dyDescent="0.25">
      <c r="BS799" s="2"/>
      <c r="BT799" s="2"/>
      <c r="BU799" s="2"/>
      <c r="BV799" s="2"/>
    </row>
    <row r="800" spans="71:74" ht="15.75" customHeight="1" x14ac:dyDescent="0.25">
      <c r="BS800" s="2"/>
      <c r="BT800" s="2"/>
      <c r="BU800" s="2"/>
      <c r="BV800" s="2"/>
    </row>
    <row r="801" spans="71:74" ht="15.75" customHeight="1" x14ac:dyDescent="0.25">
      <c r="BS801" s="2"/>
      <c r="BT801" s="2"/>
      <c r="BU801" s="2"/>
      <c r="BV801" s="2"/>
    </row>
    <row r="802" spans="71:74" ht="15.75" customHeight="1" x14ac:dyDescent="0.25">
      <c r="BS802" s="2"/>
      <c r="BT802" s="2"/>
      <c r="BU802" s="2"/>
      <c r="BV802" s="2"/>
    </row>
    <row r="803" spans="71:74" ht="15.75" customHeight="1" x14ac:dyDescent="0.25">
      <c r="BS803" s="2"/>
      <c r="BT803" s="2"/>
      <c r="BU803" s="2"/>
      <c r="BV803" s="2"/>
    </row>
    <row r="804" spans="71:74" ht="15.75" customHeight="1" x14ac:dyDescent="0.25">
      <c r="BS804" s="2"/>
      <c r="BT804" s="2"/>
      <c r="BU804" s="2"/>
      <c r="BV804" s="2"/>
    </row>
    <row r="805" spans="71:74" ht="15.75" customHeight="1" x14ac:dyDescent="0.25">
      <c r="BS805" s="2"/>
      <c r="BT805" s="2"/>
      <c r="BU805" s="2"/>
      <c r="BV805" s="2"/>
    </row>
    <row r="806" spans="71:74" ht="15.75" customHeight="1" x14ac:dyDescent="0.25">
      <c r="BS806" s="2"/>
      <c r="BT806" s="2"/>
      <c r="BU806" s="2"/>
      <c r="BV806" s="2"/>
    </row>
    <row r="807" spans="71:74" ht="15.75" customHeight="1" x14ac:dyDescent="0.25">
      <c r="BS807" s="2"/>
      <c r="BT807" s="2"/>
      <c r="BU807" s="2"/>
      <c r="BV807" s="2"/>
    </row>
    <row r="808" spans="71:74" ht="15.75" customHeight="1" x14ac:dyDescent="0.25">
      <c r="BS808" s="2"/>
      <c r="BT808" s="2"/>
      <c r="BU808" s="2"/>
      <c r="BV808" s="2"/>
    </row>
    <row r="809" spans="71:74" ht="15.75" customHeight="1" x14ac:dyDescent="0.25">
      <c r="BS809" s="2"/>
      <c r="BT809" s="2"/>
      <c r="BU809" s="2"/>
      <c r="BV809" s="2"/>
    </row>
    <row r="810" spans="71:74" ht="15.75" customHeight="1" x14ac:dyDescent="0.25">
      <c r="BS810" s="2"/>
      <c r="BT810" s="2"/>
      <c r="BU810" s="2"/>
      <c r="BV810" s="2"/>
    </row>
    <row r="811" spans="71:74" ht="15.75" customHeight="1" x14ac:dyDescent="0.25">
      <c r="BS811" s="2"/>
      <c r="BT811" s="2"/>
      <c r="BU811" s="2"/>
      <c r="BV811" s="2"/>
    </row>
    <row r="812" spans="71:74" ht="15.75" customHeight="1" x14ac:dyDescent="0.25">
      <c r="BS812" s="2"/>
      <c r="BT812" s="2"/>
      <c r="BU812" s="2"/>
      <c r="BV812" s="2"/>
    </row>
    <row r="813" spans="71:74" ht="15.75" customHeight="1" x14ac:dyDescent="0.25">
      <c r="BS813" s="2"/>
      <c r="BT813" s="2"/>
      <c r="BU813" s="2"/>
      <c r="BV813" s="2"/>
    </row>
    <row r="814" spans="71:74" ht="15.75" customHeight="1" x14ac:dyDescent="0.25">
      <c r="BS814" s="2"/>
      <c r="BT814" s="2"/>
      <c r="BU814" s="2"/>
      <c r="BV814" s="2"/>
    </row>
    <row r="815" spans="71:74" ht="15.75" customHeight="1" x14ac:dyDescent="0.25">
      <c r="BS815" s="2"/>
      <c r="BT815" s="2"/>
      <c r="BU815" s="2"/>
      <c r="BV815" s="2"/>
    </row>
    <row r="816" spans="71:74" ht="15.75" customHeight="1" x14ac:dyDescent="0.25">
      <c r="BS816" s="2"/>
      <c r="BT816" s="2"/>
      <c r="BU816" s="2"/>
      <c r="BV816" s="2"/>
    </row>
    <row r="817" spans="71:74" ht="15.75" customHeight="1" x14ac:dyDescent="0.25">
      <c r="BS817" s="2"/>
      <c r="BT817" s="2"/>
      <c r="BU817" s="2"/>
      <c r="BV817" s="2"/>
    </row>
    <row r="818" spans="71:74" ht="15.75" customHeight="1" x14ac:dyDescent="0.25">
      <c r="BS818" s="2"/>
      <c r="BT818" s="2"/>
      <c r="BU818" s="2"/>
      <c r="BV818" s="2"/>
    </row>
    <row r="819" spans="71:74" ht="15.75" customHeight="1" x14ac:dyDescent="0.25">
      <c r="BS819" s="2"/>
      <c r="BT819" s="2"/>
      <c r="BU819" s="2"/>
      <c r="BV819" s="2"/>
    </row>
    <row r="820" spans="71:74" ht="15.75" customHeight="1" x14ac:dyDescent="0.25">
      <c r="BS820" s="2"/>
      <c r="BT820" s="2"/>
      <c r="BU820" s="2"/>
      <c r="BV820" s="2"/>
    </row>
    <row r="821" spans="71:74" ht="15.75" customHeight="1" x14ac:dyDescent="0.25">
      <c r="BS821" s="2"/>
      <c r="BT821" s="2"/>
      <c r="BU821" s="2"/>
      <c r="BV821" s="2"/>
    </row>
    <row r="822" spans="71:74" ht="15.75" customHeight="1" x14ac:dyDescent="0.25">
      <c r="BS822" s="2"/>
      <c r="BT822" s="2"/>
      <c r="BU822" s="2"/>
      <c r="BV822" s="2"/>
    </row>
    <row r="823" spans="71:74" ht="15.75" customHeight="1" x14ac:dyDescent="0.25">
      <c r="BS823" s="2"/>
      <c r="BT823" s="2"/>
      <c r="BU823" s="2"/>
      <c r="BV823" s="2"/>
    </row>
    <row r="824" spans="71:74" ht="15.75" customHeight="1" x14ac:dyDescent="0.25">
      <c r="BS824" s="2"/>
      <c r="BT824" s="2"/>
      <c r="BU824" s="2"/>
      <c r="BV824" s="2"/>
    </row>
    <row r="825" spans="71:74" ht="15.75" customHeight="1" x14ac:dyDescent="0.25">
      <c r="BS825" s="2"/>
      <c r="BT825" s="2"/>
      <c r="BU825" s="2"/>
      <c r="BV825" s="2"/>
    </row>
    <row r="826" spans="71:74" ht="15.75" customHeight="1" x14ac:dyDescent="0.25">
      <c r="BS826" s="2"/>
      <c r="BT826" s="2"/>
      <c r="BU826" s="2"/>
      <c r="BV826" s="2"/>
    </row>
    <row r="827" spans="71:74" ht="15.75" customHeight="1" x14ac:dyDescent="0.25">
      <c r="BS827" s="2"/>
      <c r="BT827" s="2"/>
      <c r="BU827" s="2"/>
      <c r="BV827" s="2"/>
    </row>
    <row r="828" spans="71:74" ht="15.75" customHeight="1" x14ac:dyDescent="0.25">
      <c r="BS828" s="2"/>
      <c r="BT828" s="2"/>
      <c r="BU828" s="2"/>
      <c r="BV828" s="2"/>
    </row>
    <row r="829" spans="71:74" ht="15.75" customHeight="1" x14ac:dyDescent="0.25">
      <c r="BS829" s="2"/>
      <c r="BT829" s="2"/>
      <c r="BU829" s="2"/>
      <c r="BV829" s="2"/>
    </row>
    <row r="830" spans="71:74" ht="15.75" customHeight="1" x14ac:dyDescent="0.25">
      <c r="BS830" s="2"/>
      <c r="BT830" s="2"/>
      <c r="BU830" s="2"/>
      <c r="BV830" s="2"/>
    </row>
    <row r="831" spans="71:74" ht="15.75" customHeight="1" x14ac:dyDescent="0.25">
      <c r="BS831" s="2"/>
      <c r="BT831" s="2"/>
      <c r="BU831" s="2"/>
      <c r="BV831" s="2"/>
    </row>
    <row r="832" spans="71:74" ht="15.75" customHeight="1" x14ac:dyDescent="0.25">
      <c r="BS832" s="2"/>
      <c r="BT832" s="2"/>
      <c r="BU832" s="2"/>
      <c r="BV832" s="2"/>
    </row>
    <row r="833" spans="71:74" ht="15.75" customHeight="1" x14ac:dyDescent="0.25">
      <c r="BS833" s="2"/>
      <c r="BT833" s="2"/>
      <c r="BU833" s="2"/>
      <c r="BV833" s="2"/>
    </row>
    <row r="834" spans="71:74" ht="15.75" customHeight="1" x14ac:dyDescent="0.25">
      <c r="BS834" s="2"/>
      <c r="BT834" s="2"/>
      <c r="BU834" s="2"/>
      <c r="BV834" s="2"/>
    </row>
    <row r="835" spans="71:74" ht="15.75" customHeight="1" x14ac:dyDescent="0.25">
      <c r="BS835" s="2"/>
      <c r="BT835" s="2"/>
      <c r="BU835" s="2"/>
      <c r="BV835" s="2"/>
    </row>
    <row r="836" spans="71:74" ht="15.75" customHeight="1" x14ac:dyDescent="0.25">
      <c r="BS836" s="2"/>
      <c r="BT836" s="2"/>
      <c r="BU836" s="2"/>
      <c r="BV836" s="2"/>
    </row>
    <row r="837" spans="71:74" ht="15.75" customHeight="1" x14ac:dyDescent="0.25">
      <c r="BS837" s="2"/>
      <c r="BT837" s="2"/>
      <c r="BU837" s="2"/>
      <c r="BV837" s="2"/>
    </row>
    <row r="838" spans="71:74" ht="15.75" customHeight="1" x14ac:dyDescent="0.25">
      <c r="BS838" s="2"/>
      <c r="BT838" s="2"/>
      <c r="BU838" s="2"/>
      <c r="BV838" s="2"/>
    </row>
    <row r="839" spans="71:74" ht="15.75" customHeight="1" x14ac:dyDescent="0.25">
      <c r="BS839" s="2"/>
      <c r="BT839" s="2"/>
      <c r="BU839" s="2"/>
      <c r="BV839" s="2"/>
    </row>
    <row r="840" spans="71:74" ht="15.75" customHeight="1" x14ac:dyDescent="0.25">
      <c r="BS840" s="2"/>
      <c r="BT840" s="2"/>
      <c r="BU840" s="2"/>
      <c r="BV840" s="2"/>
    </row>
    <row r="841" spans="71:74" ht="15.75" customHeight="1" x14ac:dyDescent="0.25">
      <c r="BS841" s="2"/>
      <c r="BT841" s="2"/>
      <c r="BU841" s="2"/>
      <c r="BV841" s="2"/>
    </row>
    <row r="842" spans="71:74" ht="15.75" customHeight="1" x14ac:dyDescent="0.25">
      <c r="BS842" s="2"/>
      <c r="BT842" s="2"/>
      <c r="BU842" s="2"/>
      <c r="BV842" s="2"/>
    </row>
    <row r="843" spans="71:74" ht="15.75" customHeight="1" x14ac:dyDescent="0.25">
      <c r="BS843" s="2"/>
      <c r="BT843" s="2"/>
      <c r="BU843" s="2"/>
      <c r="BV843" s="2"/>
    </row>
    <row r="844" spans="71:74" ht="15.75" customHeight="1" x14ac:dyDescent="0.25">
      <c r="BS844" s="2"/>
      <c r="BT844" s="2"/>
      <c r="BU844" s="2"/>
      <c r="BV844" s="2"/>
    </row>
    <row r="845" spans="71:74" ht="15.75" customHeight="1" x14ac:dyDescent="0.25">
      <c r="BS845" s="2"/>
      <c r="BT845" s="2"/>
      <c r="BU845" s="2"/>
      <c r="BV845" s="2"/>
    </row>
    <row r="846" spans="71:74" ht="15.75" customHeight="1" x14ac:dyDescent="0.25">
      <c r="BS846" s="2"/>
      <c r="BT846" s="2"/>
      <c r="BU846" s="2"/>
      <c r="BV846" s="2"/>
    </row>
    <row r="847" spans="71:74" ht="15.75" customHeight="1" x14ac:dyDescent="0.25">
      <c r="BS847" s="2"/>
      <c r="BT847" s="2"/>
      <c r="BU847" s="2"/>
      <c r="BV847" s="2"/>
    </row>
    <row r="848" spans="71:74" ht="15.75" customHeight="1" x14ac:dyDescent="0.25">
      <c r="BS848" s="2"/>
      <c r="BT848" s="2"/>
      <c r="BU848" s="2"/>
      <c r="BV848" s="2"/>
    </row>
    <row r="849" spans="71:74" ht="15.75" customHeight="1" x14ac:dyDescent="0.25">
      <c r="BS849" s="2"/>
      <c r="BT849" s="2"/>
      <c r="BU849" s="2"/>
      <c r="BV849" s="2"/>
    </row>
    <row r="850" spans="71:74" ht="15.75" customHeight="1" x14ac:dyDescent="0.25">
      <c r="BS850" s="2"/>
      <c r="BT850" s="2"/>
      <c r="BU850" s="2"/>
      <c r="BV850" s="2"/>
    </row>
    <row r="851" spans="71:74" ht="15.75" customHeight="1" x14ac:dyDescent="0.25">
      <c r="BS851" s="2"/>
      <c r="BT851" s="2"/>
      <c r="BU851" s="2"/>
      <c r="BV851" s="2"/>
    </row>
    <row r="852" spans="71:74" ht="15.75" customHeight="1" x14ac:dyDescent="0.25">
      <c r="BS852" s="2"/>
      <c r="BT852" s="2"/>
      <c r="BU852" s="2"/>
      <c r="BV852" s="2"/>
    </row>
    <row r="853" spans="71:74" ht="15.75" customHeight="1" x14ac:dyDescent="0.25">
      <c r="BS853" s="2"/>
      <c r="BT853" s="2"/>
      <c r="BU853" s="2"/>
      <c r="BV853" s="2"/>
    </row>
    <row r="854" spans="71:74" ht="15.75" customHeight="1" x14ac:dyDescent="0.25">
      <c r="BS854" s="2"/>
      <c r="BT854" s="2"/>
      <c r="BU854" s="2"/>
      <c r="BV854" s="2"/>
    </row>
    <row r="855" spans="71:74" ht="15.75" customHeight="1" x14ac:dyDescent="0.25">
      <c r="BS855" s="2"/>
      <c r="BT855" s="2"/>
      <c r="BU855" s="2"/>
      <c r="BV855" s="2"/>
    </row>
    <row r="856" spans="71:74" ht="15.75" customHeight="1" x14ac:dyDescent="0.25">
      <c r="BS856" s="2"/>
      <c r="BT856" s="2"/>
      <c r="BU856" s="2"/>
      <c r="BV856" s="2"/>
    </row>
    <row r="857" spans="71:74" ht="15.75" customHeight="1" x14ac:dyDescent="0.25">
      <c r="BS857" s="2"/>
      <c r="BT857" s="2"/>
      <c r="BU857" s="2"/>
      <c r="BV857" s="2"/>
    </row>
    <row r="858" spans="71:74" ht="15.75" customHeight="1" x14ac:dyDescent="0.25">
      <c r="BS858" s="2"/>
      <c r="BT858" s="2"/>
      <c r="BU858" s="2"/>
      <c r="BV858" s="2"/>
    </row>
    <row r="859" spans="71:74" ht="15.75" customHeight="1" x14ac:dyDescent="0.25">
      <c r="BS859" s="2"/>
      <c r="BT859" s="2"/>
      <c r="BU859" s="2"/>
      <c r="BV859" s="2"/>
    </row>
    <row r="860" spans="71:74" ht="15.75" customHeight="1" x14ac:dyDescent="0.25">
      <c r="BS860" s="2"/>
      <c r="BT860" s="2"/>
      <c r="BU860" s="2"/>
      <c r="BV860" s="2"/>
    </row>
    <row r="861" spans="71:74" ht="15.75" customHeight="1" x14ac:dyDescent="0.25">
      <c r="BS861" s="2"/>
      <c r="BT861" s="2"/>
      <c r="BU861" s="2"/>
      <c r="BV861" s="2"/>
    </row>
    <row r="862" spans="71:74" ht="15.75" customHeight="1" x14ac:dyDescent="0.25">
      <c r="BS862" s="2"/>
      <c r="BT862" s="2"/>
      <c r="BU862" s="2"/>
      <c r="BV862" s="2"/>
    </row>
    <row r="863" spans="71:74" ht="15.75" customHeight="1" x14ac:dyDescent="0.25">
      <c r="BS863" s="2"/>
      <c r="BT863" s="2"/>
      <c r="BU863" s="2"/>
      <c r="BV863" s="2"/>
    </row>
    <row r="864" spans="71:74" ht="15.75" customHeight="1" x14ac:dyDescent="0.25">
      <c r="BS864" s="2"/>
      <c r="BT864" s="2"/>
      <c r="BU864" s="2"/>
      <c r="BV864" s="2"/>
    </row>
    <row r="865" spans="71:74" ht="15.75" customHeight="1" x14ac:dyDescent="0.25">
      <c r="BS865" s="2"/>
      <c r="BT865" s="2"/>
      <c r="BU865" s="2"/>
      <c r="BV865" s="2"/>
    </row>
    <row r="866" spans="71:74" ht="15.75" customHeight="1" x14ac:dyDescent="0.25">
      <c r="BS866" s="2"/>
      <c r="BT866" s="2"/>
      <c r="BU866" s="2"/>
      <c r="BV866" s="2"/>
    </row>
    <row r="867" spans="71:74" ht="15.75" customHeight="1" x14ac:dyDescent="0.25">
      <c r="BS867" s="2"/>
      <c r="BT867" s="2"/>
      <c r="BU867" s="2"/>
      <c r="BV867" s="2"/>
    </row>
    <row r="868" spans="71:74" ht="15.75" customHeight="1" x14ac:dyDescent="0.25">
      <c r="BS868" s="2"/>
      <c r="BT868" s="2"/>
      <c r="BU868" s="2"/>
      <c r="BV868" s="2"/>
    </row>
    <row r="869" spans="71:74" ht="15.75" customHeight="1" x14ac:dyDescent="0.25">
      <c r="BS869" s="2"/>
      <c r="BT869" s="2"/>
      <c r="BU869" s="2"/>
      <c r="BV869" s="2"/>
    </row>
    <row r="870" spans="71:74" ht="15.75" customHeight="1" x14ac:dyDescent="0.25">
      <c r="BS870" s="2"/>
      <c r="BT870" s="2"/>
      <c r="BU870" s="2"/>
      <c r="BV870" s="2"/>
    </row>
    <row r="871" spans="71:74" ht="15.75" customHeight="1" x14ac:dyDescent="0.25">
      <c r="BS871" s="2"/>
      <c r="BT871" s="2"/>
      <c r="BU871" s="2"/>
      <c r="BV871" s="2"/>
    </row>
    <row r="872" spans="71:74" ht="15.75" customHeight="1" x14ac:dyDescent="0.25">
      <c r="BS872" s="2"/>
      <c r="BT872" s="2"/>
      <c r="BU872" s="2"/>
      <c r="BV872" s="2"/>
    </row>
    <row r="873" spans="71:74" ht="15.75" customHeight="1" x14ac:dyDescent="0.25">
      <c r="BS873" s="2"/>
      <c r="BT873" s="2"/>
      <c r="BU873" s="2"/>
      <c r="BV873" s="2"/>
    </row>
    <row r="874" spans="71:74" ht="15.75" customHeight="1" x14ac:dyDescent="0.25">
      <c r="BS874" s="2"/>
      <c r="BT874" s="2"/>
      <c r="BU874" s="2"/>
      <c r="BV874" s="2"/>
    </row>
    <row r="875" spans="71:74" ht="15.75" customHeight="1" x14ac:dyDescent="0.25">
      <c r="BS875" s="2"/>
      <c r="BT875" s="2"/>
      <c r="BU875" s="2"/>
      <c r="BV875" s="2"/>
    </row>
    <row r="876" spans="71:74" ht="15.75" customHeight="1" x14ac:dyDescent="0.25">
      <c r="BS876" s="2"/>
      <c r="BT876" s="2"/>
      <c r="BU876" s="2"/>
      <c r="BV876" s="2"/>
    </row>
    <row r="877" spans="71:74" ht="15.75" customHeight="1" x14ac:dyDescent="0.25">
      <c r="BS877" s="2"/>
      <c r="BT877" s="2"/>
      <c r="BU877" s="2"/>
      <c r="BV877" s="2"/>
    </row>
    <row r="878" spans="71:74" ht="15.75" customHeight="1" x14ac:dyDescent="0.25">
      <c r="BS878" s="2"/>
      <c r="BT878" s="2"/>
      <c r="BU878" s="2"/>
      <c r="BV878" s="2"/>
    </row>
    <row r="879" spans="71:74" ht="15.75" customHeight="1" x14ac:dyDescent="0.25">
      <c r="BS879" s="2"/>
      <c r="BT879" s="2"/>
      <c r="BU879" s="2"/>
      <c r="BV879" s="2"/>
    </row>
    <row r="880" spans="71:74" ht="15.75" customHeight="1" x14ac:dyDescent="0.25">
      <c r="BS880" s="2"/>
      <c r="BT880" s="2"/>
      <c r="BU880" s="2"/>
      <c r="BV880" s="2"/>
    </row>
    <row r="881" spans="71:74" ht="15.75" customHeight="1" x14ac:dyDescent="0.25">
      <c r="BS881" s="2"/>
      <c r="BT881" s="2"/>
      <c r="BU881" s="2"/>
      <c r="BV881" s="2"/>
    </row>
    <row r="882" spans="71:74" ht="15.75" customHeight="1" x14ac:dyDescent="0.25">
      <c r="BS882" s="2"/>
      <c r="BT882" s="2"/>
      <c r="BU882" s="2"/>
      <c r="BV882" s="2"/>
    </row>
    <row r="883" spans="71:74" ht="15.75" customHeight="1" x14ac:dyDescent="0.25">
      <c r="BS883" s="2"/>
      <c r="BT883" s="2"/>
      <c r="BU883" s="2"/>
      <c r="BV883" s="2"/>
    </row>
    <row r="884" spans="71:74" ht="15.75" customHeight="1" x14ac:dyDescent="0.25">
      <c r="BS884" s="2"/>
      <c r="BT884" s="2"/>
      <c r="BU884" s="2"/>
      <c r="BV884" s="2"/>
    </row>
    <row r="885" spans="71:74" ht="15.75" customHeight="1" x14ac:dyDescent="0.25">
      <c r="BS885" s="2"/>
      <c r="BT885" s="2"/>
      <c r="BU885" s="2"/>
      <c r="BV885" s="2"/>
    </row>
    <row r="886" spans="71:74" ht="15.75" customHeight="1" x14ac:dyDescent="0.25">
      <c r="BS886" s="2"/>
      <c r="BT886" s="2"/>
      <c r="BU886" s="2"/>
      <c r="BV886" s="2"/>
    </row>
    <row r="887" spans="71:74" ht="15.75" customHeight="1" x14ac:dyDescent="0.25">
      <c r="BS887" s="2"/>
      <c r="BT887" s="2"/>
      <c r="BU887" s="2"/>
      <c r="BV887" s="2"/>
    </row>
    <row r="888" spans="71:74" ht="15.75" customHeight="1" x14ac:dyDescent="0.25">
      <c r="BS888" s="2"/>
      <c r="BT888" s="2"/>
      <c r="BU888" s="2"/>
      <c r="BV888" s="2"/>
    </row>
    <row r="889" spans="71:74" ht="15.75" customHeight="1" x14ac:dyDescent="0.25">
      <c r="BS889" s="2"/>
      <c r="BT889" s="2"/>
      <c r="BU889" s="2"/>
      <c r="BV889" s="2"/>
    </row>
    <row r="890" spans="71:74" ht="15.75" customHeight="1" x14ac:dyDescent="0.25">
      <c r="BS890" s="2"/>
      <c r="BT890" s="2"/>
      <c r="BU890" s="2"/>
      <c r="BV890" s="2"/>
    </row>
    <row r="891" spans="71:74" ht="15.75" customHeight="1" x14ac:dyDescent="0.25">
      <c r="BS891" s="2"/>
      <c r="BT891" s="2"/>
      <c r="BU891" s="2"/>
      <c r="BV891" s="2"/>
    </row>
    <row r="892" spans="71:74" ht="15.75" customHeight="1" x14ac:dyDescent="0.25">
      <c r="BS892" s="2"/>
      <c r="BT892" s="2"/>
      <c r="BU892" s="2"/>
      <c r="BV892" s="2"/>
    </row>
    <row r="893" spans="71:74" ht="15.75" customHeight="1" x14ac:dyDescent="0.25">
      <c r="BS893" s="2"/>
      <c r="BT893" s="2"/>
      <c r="BU893" s="2"/>
      <c r="BV893" s="2"/>
    </row>
    <row r="894" spans="71:74" ht="15.75" customHeight="1" x14ac:dyDescent="0.25">
      <c r="BS894" s="2"/>
      <c r="BT894" s="2"/>
      <c r="BU894" s="2"/>
      <c r="BV894" s="2"/>
    </row>
    <row r="895" spans="71:74" ht="15.75" customHeight="1" x14ac:dyDescent="0.25">
      <c r="BS895" s="2"/>
      <c r="BT895" s="2"/>
      <c r="BU895" s="2"/>
      <c r="BV895" s="2"/>
    </row>
    <row r="896" spans="71:74" ht="15.75" customHeight="1" x14ac:dyDescent="0.25">
      <c r="BS896" s="2"/>
      <c r="BT896" s="2"/>
      <c r="BU896" s="2"/>
      <c r="BV896" s="2"/>
    </row>
    <row r="897" spans="71:74" ht="15.75" customHeight="1" x14ac:dyDescent="0.25">
      <c r="BS897" s="2"/>
      <c r="BT897" s="2"/>
      <c r="BU897" s="2"/>
      <c r="BV897" s="2"/>
    </row>
    <row r="898" spans="71:74" ht="15.75" customHeight="1" x14ac:dyDescent="0.25">
      <c r="BS898" s="2"/>
      <c r="BT898" s="2"/>
      <c r="BU898" s="2"/>
      <c r="BV898" s="2"/>
    </row>
    <row r="899" spans="71:74" ht="15.75" customHeight="1" x14ac:dyDescent="0.25">
      <c r="BS899" s="2"/>
      <c r="BT899" s="2"/>
      <c r="BU899" s="2"/>
      <c r="BV899" s="2"/>
    </row>
    <row r="900" spans="71:74" ht="15.75" customHeight="1" x14ac:dyDescent="0.25">
      <c r="BS900" s="2"/>
      <c r="BT900" s="2"/>
      <c r="BU900" s="2"/>
      <c r="BV900" s="2"/>
    </row>
    <row r="901" spans="71:74" ht="15.75" customHeight="1" x14ac:dyDescent="0.25">
      <c r="BS901" s="2"/>
      <c r="BT901" s="2"/>
      <c r="BU901" s="2"/>
      <c r="BV901" s="2"/>
    </row>
    <row r="902" spans="71:74" ht="15.75" customHeight="1" x14ac:dyDescent="0.25">
      <c r="BS902" s="2"/>
      <c r="BT902" s="2"/>
      <c r="BU902" s="2"/>
      <c r="BV902" s="2"/>
    </row>
    <row r="903" spans="71:74" ht="15.75" customHeight="1" x14ac:dyDescent="0.25">
      <c r="BS903" s="2"/>
      <c r="BT903" s="2"/>
      <c r="BU903" s="2"/>
      <c r="BV903" s="2"/>
    </row>
    <row r="904" spans="71:74" ht="15.75" customHeight="1" x14ac:dyDescent="0.25">
      <c r="BS904" s="2"/>
      <c r="BT904" s="2"/>
      <c r="BU904" s="2"/>
      <c r="BV904" s="2"/>
    </row>
    <row r="905" spans="71:74" ht="15.75" customHeight="1" x14ac:dyDescent="0.25">
      <c r="BS905" s="2"/>
      <c r="BT905" s="2"/>
      <c r="BU905" s="2"/>
      <c r="BV905" s="2"/>
    </row>
    <row r="906" spans="71:74" ht="15.75" customHeight="1" x14ac:dyDescent="0.25">
      <c r="BS906" s="2"/>
      <c r="BT906" s="2"/>
      <c r="BU906" s="2"/>
      <c r="BV906" s="2"/>
    </row>
    <row r="907" spans="71:74" ht="15.75" customHeight="1" x14ac:dyDescent="0.25">
      <c r="BS907" s="2"/>
      <c r="BT907" s="2"/>
      <c r="BU907" s="2"/>
      <c r="BV907" s="2"/>
    </row>
    <row r="908" spans="71:74" ht="15.75" customHeight="1" x14ac:dyDescent="0.25">
      <c r="BS908" s="2"/>
      <c r="BT908" s="2"/>
      <c r="BU908" s="2"/>
      <c r="BV908" s="2"/>
    </row>
    <row r="909" spans="71:74" ht="15.75" customHeight="1" x14ac:dyDescent="0.25">
      <c r="BS909" s="2"/>
      <c r="BT909" s="2"/>
      <c r="BU909" s="2"/>
      <c r="BV909" s="2"/>
    </row>
    <row r="910" spans="71:74" ht="15.75" customHeight="1" x14ac:dyDescent="0.25">
      <c r="BS910" s="2"/>
      <c r="BT910" s="2"/>
      <c r="BU910" s="2"/>
      <c r="BV910" s="2"/>
    </row>
    <row r="911" spans="71:74" ht="15.75" customHeight="1" x14ac:dyDescent="0.25">
      <c r="BS911" s="2"/>
      <c r="BT911" s="2"/>
      <c r="BU911" s="2"/>
      <c r="BV911" s="2"/>
    </row>
    <row r="912" spans="71:74" ht="15.75" customHeight="1" x14ac:dyDescent="0.25">
      <c r="BS912" s="2"/>
      <c r="BT912" s="2"/>
      <c r="BU912" s="2"/>
      <c r="BV912" s="2"/>
    </row>
    <row r="913" spans="71:74" ht="15.75" customHeight="1" x14ac:dyDescent="0.25">
      <c r="BS913" s="2"/>
      <c r="BT913" s="2"/>
      <c r="BU913" s="2"/>
      <c r="BV913" s="2"/>
    </row>
    <row r="914" spans="71:74" ht="15.75" customHeight="1" x14ac:dyDescent="0.25">
      <c r="BS914" s="2"/>
      <c r="BT914" s="2"/>
      <c r="BU914" s="2"/>
      <c r="BV914" s="2"/>
    </row>
    <row r="915" spans="71:74" ht="15.75" customHeight="1" x14ac:dyDescent="0.25">
      <c r="BS915" s="2"/>
      <c r="BT915" s="2"/>
      <c r="BU915" s="2"/>
      <c r="BV915" s="2"/>
    </row>
    <row r="916" spans="71:74" ht="15.75" customHeight="1" x14ac:dyDescent="0.25">
      <c r="BS916" s="2"/>
      <c r="BT916" s="2"/>
      <c r="BU916" s="2"/>
      <c r="BV916" s="2"/>
    </row>
    <row r="917" spans="71:74" ht="15.75" customHeight="1" x14ac:dyDescent="0.25">
      <c r="BS917" s="2"/>
      <c r="BT917" s="2"/>
      <c r="BU917" s="2"/>
      <c r="BV917" s="2"/>
    </row>
    <row r="918" spans="71:74" ht="15.75" customHeight="1" x14ac:dyDescent="0.25">
      <c r="BS918" s="2"/>
      <c r="BT918" s="2"/>
      <c r="BU918" s="2"/>
      <c r="BV918" s="2"/>
    </row>
    <row r="919" spans="71:74" ht="15.75" customHeight="1" x14ac:dyDescent="0.25">
      <c r="BS919" s="2"/>
      <c r="BT919" s="2"/>
      <c r="BU919" s="2"/>
      <c r="BV919" s="2"/>
    </row>
    <row r="920" spans="71:74" ht="15.75" customHeight="1" x14ac:dyDescent="0.25">
      <c r="BS920" s="2"/>
      <c r="BT920" s="2"/>
      <c r="BU920" s="2"/>
      <c r="BV920" s="2"/>
    </row>
    <row r="921" spans="71:74" ht="15.75" customHeight="1" x14ac:dyDescent="0.25">
      <c r="BS921" s="2"/>
      <c r="BT921" s="2"/>
      <c r="BU921" s="2"/>
      <c r="BV921" s="2"/>
    </row>
    <row r="922" spans="71:74" ht="15.75" customHeight="1" x14ac:dyDescent="0.25">
      <c r="BS922" s="2"/>
      <c r="BT922" s="2"/>
      <c r="BU922" s="2"/>
      <c r="BV922" s="2"/>
    </row>
    <row r="923" spans="71:74" ht="15.75" customHeight="1" x14ac:dyDescent="0.25">
      <c r="BS923" s="2"/>
      <c r="BT923" s="2"/>
      <c r="BU923" s="2"/>
      <c r="BV923" s="2"/>
    </row>
    <row r="924" spans="71:74" ht="15.75" customHeight="1" x14ac:dyDescent="0.25">
      <c r="BS924" s="2"/>
      <c r="BT924" s="2"/>
      <c r="BU924" s="2"/>
      <c r="BV924" s="2"/>
    </row>
    <row r="925" spans="71:74" ht="15.75" customHeight="1" x14ac:dyDescent="0.25">
      <c r="BS925" s="2"/>
      <c r="BT925" s="2"/>
      <c r="BU925" s="2"/>
      <c r="BV925" s="2"/>
    </row>
    <row r="926" spans="71:74" ht="15.75" customHeight="1" x14ac:dyDescent="0.25">
      <c r="BS926" s="2"/>
      <c r="BT926" s="2"/>
      <c r="BU926" s="2"/>
      <c r="BV926" s="2"/>
    </row>
    <row r="927" spans="71:74" ht="15.75" customHeight="1" x14ac:dyDescent="0.25">
      <c r="BS927" s="2"/>
      <c r="BT927" s="2"/>
      <c r="BU927" s="2"/>
      <c r="BV927" s="2"/>
    </row>
    <row r="928" spans="71:74" ht="15.75" customHeight="1" x14ac:dyDescent="0.25">
      <c r="BS928" s="2"/>
      <c r="BT928" s="2"/>
      <c r="BU928" s="2"/>
      <c r="BV928" s="2"/>
    </row>
    <row r="929" spans="71:74" ht="15.75" customHeight="1" x14ac:dyDescent="0.25">
      <c r="BS929" s="2"/>
      <c r="BT929" s="2"/>
      <c r="BU929" s="2"/>
      <c r="BV929" s="2"/>
    </row>
    <row r="930" spans="71:74" ht="15.75" customHeight="1" x14ac:dyDescent="0.25">
      <c r="BS930" s="2"/>
      <c r="BT930" s="2"/>
      <c r="BU930" s="2"/>
      <c r="BV930" s="2"/>
    </row>
    <row r="931" spans="71:74" ht="15.75" customHeight="1" x14ac:dyDescent="0.25">
      <c r="BS931" s="2"/>
      <c r="BT931" s="2"/>
      <c r="BU931" s="2"/>
      <c r="BV931" s="2"/>
    </row>
    <row r="932" spans="71:74" ht="15.75" customHeight="1" x14ac:dyDescent="0.25">
      <c r="BS932" s="2"/>
      <c r="BT932" s="2"/>
      <c r="BU932" s="2"/>
      <c r="BV932" s="2"/>
    </row>
    <row r="933" spans="71:74" ht="15.75" customHeight="1" x14ac:dyDescent="0.25">
      <c r="BS933" s="2"/>
      <c r="BT933" s="2"/>
      <c r="BU933" s="2"/>
      <c r="BV933" s="2"/>
    </row>
    <row r="934" spans="71:74" ht="15.75" customHeight="1" x14ac:dyDescent="0.25">
      <c r="BS934" s="2"/>
      <c r="BT934" s="2"/>
      <c r="BU934" s="2"/>
      <c r="BV934" s="2"/>
    </row>
    <row r="935" spans="71:74" ht="15.75" customHeight="1" x14ac:dyDescent="0.25">
      <c r="BS935" s="2"/>
      <c r="BT935" s="2"/>
      <c r="BU935" s="2"/>
      <c r="BV935" s="2"/>
    </row>
    <row r="936" spans="71:74" ht="15.75" customHeight="1" x14ac:dyDescent="0.25">
      <c r="BS936" s="2"/>
      <c r="BT936" s="2"/>
      <c r="BU936" s="2"/>
      <c r="BV936" s="2"/>
    </row>
    <row r="937" spans="71:74" ht="15.75" customHeight="1" x14ac:dyDescent="0.25">
      <c r="BS937" s="2"/>
      <c r="BT937" s="2"/>
      <c r="BU937" s="2"/>
      <c r="BV937" s="2"/>
    </row>
    <row r="938" spans="71:74" ht="15.75" customHeight="1" x14ac:dyDescent="0.25">
      <c r="BS938" s="2"/>
      <c r="BT938" s="2"/>
      <c r="BU938" s="2"/>
      <c r="BV938" s="2"/>
    </row>
    <row r="939" spans="71:74" ht="15.75" customHeight="1" x14ac:dyDescent="0.25">
      <c r="BS939" s="2"/>
      <c r="BT939" s="2"/>
      <c r="BU939" s="2"/>
      <c r="BV939" s="2"/>
    </row>
    <row r="940" spans="71:74" ht="15.75" customHeight="1" x14ac:dyDescent="0.25">
      <c r="BS940" s="2"/>
      <c r="BT940" s="2"/>
      <c r="BU940" s="2"/>
      <c r="BV940" s="2"/>
    </row>
    <row r="941" spans="71:74" ht="15.75" customHeight="1" x14ac:dyDescent="0.25">
      <c r="BS941" s="2"/>
      <c r="BT941" s="2"/>
      <c r="BU941" s="2"/>
      <c r="BV941" s="2"/>
    </row>
    <row r="942" spans="71:74" ht="15.75" customHeight="1" x14ac:dyDescent="0.25">
      <c r="BS942" s="2"/>
      <c r="BT942" s="2"/>
      <c r="BU942" s="2"/>
      <c r="BV942" s="2"/>
    </row>
    <row r="943" spans="71:74" ht="15.75" customHeight="1" x14ac:dyDescent="0.25">
      <c r="BS943" s="2"/>
      <c r="BT943" s="2"/>
      <c r="BU943" s="2"/>
      <c r="BV943" s="2"/>
    </row>
    <row r="944" spans="71:74" ht="15.75" customHeight="1" x14ac:dyDescent="0.25">
      <c r="BS944" s="2"/>
      <c r="BT944" s="2"/>
      <c r="BU944" s="2"/>
      <c r="BV944" s="2"/>
    </row>
    <row r="945" spans="71:74" ht="15.75" customHeight="1" x14ac:dyDescent="0.25">
      <c r="BS945" s="2"/>
      <c r="BT945" s="2"/>
      <c r="BU945" s="2"/>
      <c r="BV945" s="2"/>
    </row>
    <row r="946" spans="71:74" ht="15.75" customHeight="1" x14ac:dyDescent="0.25">
      <c r="BS946" s="2"/>
      <c r="BT946" s="2"/>
      <c r="BU946" s="2"/>
      <c r="BV946" s="2"/>
    </row>
    <row r="947" spans="71:74" ht="15.75" customHeight="1" x14ac:dyDescent="0.25">
      <c r="BS947" s="2"/>
      <c r="BT947" s="2"/>
      <c r="BU947" s="2"/>
      <c r="BV947" s="2"/>
    </row>
    <row r="948" spans="71:74" ht="15.75" customHeight="1" x14ac:dyDescent="0.25">
      <c r="BS948" s="2"/>
      <c r="BT948" s="2"/>
      <c r="BU948" s="2"/>
      <c r="BV948" s="2"/>
    </row>
    <row r="949" spans="71:74" ht="15.75" customHeight="1" x14ac:dyDescent="0.25">
      <c r="BS949" s="2"/>
      <c r="BT949" s="2"/>
      <c r="BU949" s="2"/>
      <c r="BV949" s="2"/>
    </row>
    <row r="950" spans="71:74" ht="15.75" customHeight="1" x14ac:dyDescent="0.25">
      <c r="BS950" s="2"/>
      <c r="BT950" s="2"/>
      <c r="BU950" s="2"/>
      <c r="BV950" s="2"/>
    </row>
    <row r="951" spans="71:74" ht="15.75" customHeight="1" x14ac:dyDescent="0.25">
      <c r="BS951" s="2"/>
      <c r="BT951" s="2"/>
      <c r="BU951" s="2"/>
      <c r="BV951" s="2"/>
    </row>
    <row r="952" spans="71:74" ht="15.75" customHeight="1" x14ac:dyDescent="0.25">
      <c r="BS952" s="2"/>
      <c r="BT952" s="2"/>
      <c r="BU952" s="2"/>
      <c r="BV952" s="2"/>
    </row>
    <row r="953" spans="71:74" ht="15.75" customHeight="1" x14ac:dyDescent="0.25">
      <c r="BS953" s="2"/>
      <c r="BT953" s="2"/>
      <c r="BU953" s="2"/>
      <c r="BV953" s="2"/>
    </row>
    <row r="954" spans="71:74" ht="15.75" customHeight="1" x14ac:dyDescent="0.25">
      <c r="BS954" s="2"/>
      <c r="BT954" s="2"/>
      <c r="BU954" s="2"/>
      <c r="BV954" s="2"/>
    </row>
    <row r="955" spans="71:74" ht="15.75" customHeight="1" x14ac:dyDescent="0.25">
      <c r="BS955" s="2"/>
      <c r="BT955" s="2"/>
      <c r="BU955" s="2"/>
      <c r="BV955" s="2"/>
    </row>
    <row r="956" spans="71:74" ht="15.75" customHeight="1" x14ac:dyDescent="0.25">
      <c r="BS956" s="2"/>
      <c r="BT956" s="2"/>
      <c r="BU956" s="2"/>
      <c r="BV956" s="2"/>
    </row>
    <row r="957" spans="71:74" ht="15.75" customHeight="1" x14ac:dyDescent="0.25">
      <c r="BS957" s="2"/>
      <c r="BT957" s="2"/>
      <c r="BU957" s="2"/>
      <c r="BV957" s="2"/>
    </row>
    <row r="958" spans="71:74" ht="15.75" customHeight="1" x14ac:dyDescent="0.25">
      <c r="BS958" s="2"/>
      <c r="BT958" s="2"/>
      <c r="BU958" s="2"/>
      <c r="BV958" s="2"/>
    </row>
    <row r="959" spans="71:74" ht="15.75" customHeight="1" x14ac:dyDescent="0.25">
      <c r="BS959" s="2"/>
      <c r="BT959" s="2"/>
      <c r="BU959" s="2"/>
      <c r="BV959" s="2"/>
    </row>
    <row r="960" spans="71:74" ht="15.75" customHeight="1" x14ac:dyDescent="0.25">
      <c r="BS960" s="2"/>
      <c r="BT960" s="2"/>
      <c r="BU960" s="2"/>
      <c r="BV960" s="2"/>
    </row>
    <row r="961" spans="71:74" ht="15.75" customHeight="1" x14ac:dyDescent="0.25">
      <c r="BS961" s="2"/>
      <c r="BT961" s="2"/>
      <c r="BU961" s="2"/>
      <c r="BV961" s="2"/>
    </row>
    <row r="962" spans="71:74" ht="15.75" customHeight="1" x14ac:dyDescent="0.25">
      <c r="BS962" s="2"/>
      <c r="BT962" s="2"/>
      <c r="BU962" s="2"/>
      <c r="BV962" s="2"/>
    </row>
    <row r="963" spans="71:74" ht="15.75" customHeight="1" x14ac:dyDescent="0.25">
      <c r="BS963" s="2"/>
      <c r="BT963" s="2"/>
      <c r="BU963" s="2"/>
      <c r="BV963" s="2"/>
    </row>
    <row r="964" spans="71:74" ht="15.75" customHeight="1" x14ac:dyDescent="0.25">
      <c r="BS964" s="2"/>
      <c r="BT964" s="2"/>
      <c r="BU964" s="2"/>
      <c r="BV964" s="2"/>
    </row>
    <row r="965" spans="71:74" ht="15.75" customHeight="1" x14ac:dyDescent="0.25">
      <c r="BS965" s="2"/>
      <c r="BT965" s="2"/>
      <c r="BU965" s="2"/>
      <c r="BV965" s="2"/>
    </row>
    <row r="966" spans="71:74" ht="15.75" customHeight="1" x14ac:dyDescent="0.25">
      <c r="BS966" s="2"/>
      <c r="BT966" s="2"/>
      <c r="BU966" s="2"/>
      <c r="BV966" s="2"/>
    </row>
    <row r="967" spans="71:74" ht="15.75" customHeight="1" x14ac:dyDescent="0.25">
      <c r="BS967" s="2"/>
      <c r="BT967" s="2"/>
      <c r="BU967" s="2"/>
      <c r="BV967" s="2"/>
    </row>
    <row r="968" spans="71:74" ht="15.75" customHeight="1" x14ac:dyDescent="0.25">
      <c r="BS968" s="2"/>
      <c r="BT968" s="2"/>
      <c r="BU968" s="2"/>
      <c r="BV968" s="2"/>
    </row>
    <row r="969" spans="71:74" ht="15.75" customHeight="1" x14ac:dyDescent="0.25">
      <c r="BS969" s="2"/>
      <c r="BT969" s="2"/>
      <c r="BU969" s="2"/>
      <c r="BV969" s="2"/>
    </row>
    <row r="970" spans="71:74" ht="15.75" customHeight="1" x14ac:dyDescent="0.25">
      <c r="BS970" s="2"/>
      <c r="BT970" s="2"/>
      <c r="BU970" s="2"/>
      <c r="BV970" s="2"/>
    </row>
    <row r="971" spans="71:74" ht="15.75" customHeight="1" x14ac:dyDescent="0.25">
      <c r="BS971" s="2"/>
      <c r="BT971" s="2"/>
      <c r="BU971" s="2"/>
      <c r="BV971" s="2"/>
    </row>
    <row r="972" spans="71:74" ht="15.75" customHeight="1" x14ac:dyDescent="0.25">
      <c r="BS972" s="2"/>
      <c r="BT972" s="2"/>
      <c r="BU972" s="2"/>
      <c r="BV972" s="2"/>
    </row>
    <row r="973" spans="71:74" ht="15.75" customHeight="1" x14ac:dyDescent="0.25">
      <c r="BS973" s="2"/>
      <c r="BT973" s="2"/>
      <c r="BU973" s="2"/>
      <c r="BV973" s="2"/>
    </row>
    <row r="974" spans="71:74" ht="15.75" customHeight="1" x14ac:dyDescent="0.25">
      <c r="BS974" s="2"/>
      <c r="BT974" s="2"/>
      <c r="BU974" s="2"/>
      <c r="BV974" s="2"/>
    </row>
    <row r="975" spans="71:74" ht="15.75" customHeight="1" x14ac:dyDescent="0.25">
      <c r="BS975" s="2"/>
      <c r="BT975" s="2"/>
      <c r="BU975" s="2"/>
      <c r="BV975" s="2"/>
    </row>
    <row r="976" spans="71:74" ht="15.75" customHeight="1" x14ac:dyDescent="0.25">
      <c r="BS976" s="2"/>
      <c r="BT976" s="2"/>
      <c r="BU976" s="2"/>
      <c r="BV976" s="2"/>
    </row>
    <row r="977" spans="71:74" ht="15.75" customHeight="1" x14ac:dyDescent="0.25">
      <c r="BS977" s="2"/>
      <c r="BT977" s="2"/>
      <c r="BU977" s="2"/>
      <c r="BV977" s="2"/>
    </row>
    <row r="978" spans="71:74" ht="15.75" customHeight="1" x14ac:dyDescent="0.25">
      <c r="BS978" s="2"/>
      <c r="BT978" s="2"/>
      <c r="BU978" s="2"/>
      <c r="BV978" s="2"/>
    </row>
    <row r="979" spans="71:74" ht="15.75" customHeight="1" x14ac:dyDescent="0.25">
      <c r="BS979" s="2"/>
      <c r="BT979" s="2"/>
      <c r="BU979" s="2"/>
      <c r="BV979" s="2"/>
    </row>
    <row r="980" spans="71:74" ht="15.75" customHeight="1" x14ac:dyDescent="0.25">
      <c r="BS980" s="2"/>
      <c r="BT980" s="2"/>
      <c r="BU980" s="2"/>
      <c r="BV980" s="2"/>
    </row>
    <row r="981" spans="71:74" ht="15.75" customHeight="1" x14ac:dyDescent="0.25">
      <c r="BS981" s="2"/>
      <c r="BT981" s="2"/>
      <c r="BU981" s="2"/>
      <c r="BV981" s="2"/>
    </row>
    <row r="982" spans="71:74" ht="15.75" customHeight="1" x14ac:dyDescent="0.25">
      <c r="BS982" s="2"/>
      <c r="BT982" s="2"/>
      <c r="BU982" s="2"/>
      <c r="BV982" s="2"/>
    </row>
    <row r="983" spans="71:74" ht="15.75" customHeight="1" x14ac:dyDescent="0.25">
      <c r="BS983" s="2"/>
      <c r="BT983" s="2"/>
      <c r="BU983" s="2"/>
      <c r="BV983" s="2"/>
    </row>
    <row r="984" spans="71:74" ht="15.75" customHeight="1" x14ac:dyDescent="0.25">
      <c r="BS984" s="2"/>
      <c r="BT984" s="2"/>
      <c r="BU984" s="2"/>
      <c r="BV984" s="2"/>
    </row>
    <row r="985" spans="71:74" ht="15.75" customHeight="1" x14ac:dyDescent="0.25">
      <c r="BS985" s="2"/>
      <c r="BT985" s="2"/>
      <c r="BU985" s="2"/>
      <c r="BV985" s="2"/>
    </row>
    <row r="986" spans="71:74" ht="15.75" customHeight="1" x14ac:dyDescent="0.25">
      <c r="BS986" s="2"/>
      <c r="BT986" s="2"/>
      <c r="BU986" s="2"/>
      <c r="BV986" s="2"/>
    </row>
    <row r="987" spans="71:74" ht="15.75" customHeight="1" x14ac:dyDescent="0.25">
      <c r="BS987" s="2"/>
      <c r="BT987" s="2"/>
      <c r="BU987" s="2"/>
      <c r="BV987" s="2"/>
    </row>
    <row r="988" spans="71:74" ht="15.75" customHeight="1" x14ac:dyDescent="0.25">
      <c r="BS988" s="2"/>
      <c r="BT988" s="2"/>
      <c r="BU988" s="2"/>
      <c r="BV988" s="2"/>
    </row>
    <row r="989" spans="71:74" ht="15.75" customHeight="1" x14ac:dyDescent="0.25">
      <c r="BS989" s="2"/>
      <c r="BT989" s="2"/>
      <c r="BU989" s="2"/>
      <c r="BV989" s="2"/>
    </row>
    <row r="990" spans="71:74" ht="15.75" customHeight="1" x14ac:dyDescent="0.25">
      <c r="BS990" s="2"/>
      <c r="BT990" s="2"/>
      <c r="BU990" s="2"/>
      <c r="BV990" s="2"/>
    </row>
    <row r="991" spans="71:74" ht="15.75" customHeight="1" x14ac:dyDescent="0.25">
      <c r="BS991" s="2"/>
      <c r="BT991" s="2"/>
      <c r="BU991" s="2"/>
      <c r="BV991" s="2"/>
    </row>
    <row r="992" spans="71:74" ht="15.75" customHeight="1" x14ac:dyDescent="0.25">
      <c r="BS992" s="2"/>
      <c r="BT992" s="2"/>
      <c r="BU992" s="2"/>
      <c r="BV992" s="2"/>
    </row>
    <row r="993" spans="71:74" ht="15.75" customHeight="1" x14ac:dyDescent="0.25">
      <c r="BS993" s="2"/>
      <c r="BT993" s="2"/>
      <c r="BU993" s="2"/>
      <c r="BV993" s="2"/>
    </row>
    <row r="994" spans="71:74" ht="15.75" customHeight="1" x14ac:dyDescent="0.25">
      <c r="BS994" s="2"/>
      <c r="BT994" s="2"/>
      <c r="BU994" s="2"/>
      <c r="BV994" s="2"/>
    </row>
    <row r="995" spans="71:74" ht="15.75" customHeight="1" x14ac:dyDescent="0.25">
      <c r="BS995" s="2"/>
      <c r="BT995" s="2"/>
      <c r="BU995" s="2"/>
      <c r="BV995" s="2"/>
    </row>
  </sheetData>
  <mergeCells count="39">
    <mergeCell ref="X4:Y4"/>
    <mergeCell ref="AA4:AB4"/>
    <mergeCell ref="AD4:AE4"/>
    <mergeCell ref="AG4:AH4"/>
    <mergeCell ref="AJ4:AK4"/>
    <mergeCell ref="AM4:AN4"/>
    <mergeCell ref="AP4:AQ4"/>
    <mergeCell ref="BN4:BO4"/>
    <mergeCell ref="BQ4:BR4"/>
    <mergeCell ref="AS4:AT4"/>
    <mergeCell ref="AV4:AW4"/>
    <mergeCell ref="AY4:AZ4"/>
    <mergeCell ref="BB4:BC4"/>
    <mergeCell ref="BE4:BF4"/>
    <mergeCell ref="BH4:BI4"/>
    <mergeCell ref="BK4:BL4"/>
    <mergeCell ref="B2:C2"/>
    <mergeCell ref="B3:C3"/>
    <mergeCell ref="I4:J4"/>
    <mergeCell ref="L4:M4"/>
    <mergeCell ref="O4:P4"/>
    <mergeCell ref="R4:S4"/>
    <mergeCell ref="U4:V4"/>
    <mergeCell ref="B17:B23"/>
    <mergeCell ref="B24:B26"/>
    <mergeCell ref="B27:B31"/>
    <mergeCell ref="B6:B7"/>
    <mergeCell ref="C6:C7"/>
    <mergeCell ref="B8:B11"/>
    <mergeCell ref="C8:C11"/>
    <mergeCell ref="B12:B16"/>
    <mergeCell ref="C12:C16"/>
    <mergeCell ref="C17:C23"/>
    <mergeCell ref="B32:B35"/>
    <mergeCell ref="B36:B37"/>
    <mergeCell ref="C24:C26"/>
    <mergeCell ref="C27:C31"/>
    <mergeCell ref="C32:C35"/>
    <mergeCell ref="C36:C37"/>
  </mergeCells>
  <dataValidations count="2">
    <dataValidation type="list" allowBlank="1" showErrorMessage="1" sqref="F6:F37" xr:uid="{00000000-0002-0000-0300-000000000000}">
      <formula1>"Nuevo,En progreso,Listo para probar,Cerrado,Se necesito info"</formula1>
    </dataValidation>
    <dataValidation type="list" allowBlank="1" showErrorMessage="1" sqref="E6:E37" xr:uid="{00000000-0002-0000-0300-000001000000}">
      <formula1>"Antonia Lizana,Marcelo Valladares"</formula1>
    </dataValidation>
  </dataValidations>
  <pageMargins left="0.62992125984251968" right="0.62992125984251968" top="0.74803149606299213" bottom="0.74803149606299213" header="0" footer="0"/>
  <pageSetup paperSize="9" orientation="landscape"/>
  <colBreaks count="4" manualBreakCount="4">
    <brk id="53" man="1"/>
    <brk id="37" man="1"/>
    <brk id="22" man="1"/>
    <brk id="74"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59765625" defaultRowHeight="15" customHeight="1" x14ac:dyDescent="0.25"/>
  <cols>
    <col min="1" max="1" width="1.3984375" customWidth="1"/>
    <col min="2" max="2" width="24.19921875" customWidth="1"/>
    <col min="3" max="3" width="75.19921875" customWidth="1"/>
    <col min="4" max="4" width="2.5" customWidth="1"/>
    <col min="5" max="6" width="10" customWidth="1"/>
    <col min="7" max="23" width="9.3984375" customWidth="1"/>
  </cols>
  <sheetData>
    <row r="1" spans="1:26" ht="28.8" x14ac:dyDescent="0.55000000000000004">
      <c r="A1" s="1"/>
      <c r="B1" s="3" t="s">
        <v>250</v>
      </c>
      <c r="C1" s="1"/>
      <c r="D1" s="1"/>
      <c r="E1" s="1"/>
      <c r="F1" s="1"/>
      <c r="G1" s="1"/>
      <c r="H1" s="1"/>
      <c r="I1" s="1"/>
      <c r="J1" s="1"/>
      <c r="K1" s="1"/>
      <c r="L1" s="1"/>
      <c r="M1" s="1"/>
      <c r="N1" s="1"/>
      <c r="O1" s="1"/>
      <c r="P1" s="1"/>
      <c r="Q1" s="1"/>
      <c r="R1" s="1"/>
      <c r="S1" s="1"/>
      <c r="T1" s="1"/>
      <c r="U1" s="1"/>
      <c r="V1" s="1"/>
      <c r="W1" s="1"/>
      <c r="X1" s="1"/>
      <c r="Y1" s="1"/>
      <c r="Z1" s="1"/>
    </row>
    <row r="2" spans="1:26" ht="21" x14ac:dyDescent="0.4">
      <c r="A2" s="1"/>
      <c r="B2" s="6" t="s">
        <v>251</v>
      </c>
      <c r="C2" s="1"/>
      <c r="D2" s="1"/>
      <c r="E2" s="1"/>
      <c r="F2" s="1"/>
      <c r="G2" s="1"/>
      <c r="H2" s="1"/>
      <c r="I2" s="1"/>
      <c r="J2" s="1"/>
      <c r="K2" s="1"/>
      <c r="L2" s="1"/>
      <c r="M2" s="1"/>
      <c r="N2" s="1"/>
      <c r="O2" s="1"/>
      <c r="P2" s="1"/>
      <c r="Q2" s="1"/>
      <c r="R2" s="1"/>
      <c r="S2" s="1"/>
      <c r="T2" s="1"/>
      <c r="U2" s="1"/>
      <c r="V2" s="1"/>
      <c r="W2" s="1"/>
      <c r="X2" s="1"/>
      <c r="Y2" s="1"/>
      <c r="Z2" s="1"/>
    </row>
    <row r="3" spans="1:26" ht="14.4" x14ac:dyDescent="0.3">
      <c r="A3" s="1"/>
      <c r="B3" s="1"/>
      <c r="C3" s="1"/>
      <c r="D3" s="1"/>
      <c r="E3" s="1"/>
      <c r="F3" s="1"/>
      <c r="G3" s="1"/>
      <c r="H3" s="1"/>
      <c r="I3" s="1"/>
      <c r="J3" s="1"/>
      <c r="K3" s="1"/>
      <c r="L3" s="1"/>
      <c r="M3" s="1"/>
      <c r="N3" s="1"/>
      <c r="O3" s="1"/>
      <c r="P3" s="1"/>
      <c r="Q3" s="1"/>
      <c r="R3" s="1"/>
      <c r="S3" s="1"/>
      <c r="T3" s="1"/>
      <c r="U3" s="1"/>
      <c r="V3" s="1"/>
      <c r="W3" s="1"/>
      <c r="X3" s="1"/>
      <c r="Y3" s="1"/>
      <c r="Z3" s="1"/>
    </row>
    <row r="4" spans="1:26" ht="14.4" x14ac:dyDescent="0.3">
      <c r="A4" s="1"/>
      <c r="B4" s="26" t="s">
        <v>252</v>
      </c>
      <c r="C4" s="26" t="s">
        <v>253</v>
      </c>
      <c r="D4" s="1"/>
      <c r="E4" s="1"/>
      <c r="F4" s="1"/>
      <c r="G4" s="1"/>
      <c r="H4" s="1"/>
      <c r="I4" s="1"/>
      <c r="J4" s="1"/>
      <c r="K4" s="1"/>
      <c r="L4" s="1"/>
      <c r="M4" s="1"/>
      <c r="N4" s="1"/>
      <c r="O4" s="1"/>
      <c r="P4" s="1"/>
      <c r="Q4" s="1"/>
      <c r="R4" s="1"/>
      <c r="S4" s="1"/>
      <c r="T4" s="1"/>
      <c r="U4" s="1"/>
      <c r="V4" s="1"/>
      <c r="W4" s="1"/>
      <c r="X4" s="1"/>
      <c r="Y4" s="1"/>
      <c r="Z4" s="1"/>
    </row>
    <row r="5" spans="1:26" ht="28.8" x14ac:dyDescent="0.3">
      <c r="A5" s="1"/>
      <c r="B5" s="27" t="str">
        <f>'Sprint Backlog 0'!B5</f>
        <v>Identificador (ID) de item de product backlog</v>
      </c>
      <c r="C5" s="27" t="s">
        <v>254</v>
      </c>
      <c r="D5" s="1"/>
      <c r="E5" s="1"/>
      <c r="F5" s="1"/>
      <c r="G5" s="1"/>
      <c r="H5" s="1"/>
      <c r="I5" s="1"/>
      <c r="J5" s="1"/>
      <c r="K5" s="1"/>
      <c r="L5" s="1"/>
      <c r="M5" s="1"/>
      <c r="N5" s="1"/>
      <c r="O5" s="1"/>
      <c r="P5" s="1"/>
      <c r="Q5" s="1"/>
      <c r="R5" s="1"/>
      <c r="S5" s="1"/>
      <c r="T5" s="1"/>
      <c r="U5" s="1"/>
      <c r="V5" s="1"/>
      <c r="W5" s="1"/>
      <c r="X5" s="1"/>
      <c r="Y5" s="1"/>
      <c r="Z5" s="1"/>
    </row>
    <row r="6" spans="1:26" ht="57.6" x14ac:dyDescent="0.3">
      <c r="A6" s="1"/>
      <c r="B6" s="27" t="str">
        <f>'Sprint Backlog 0'!C5</f>
        <v>Enunciado del item de Product Backlog</v>
      </c>
      <c r="C6" s="27" t="s">
        <v>255</v>
      </c>
      <c r="D6" s="1"/>
      <c r="E6" s="1"/>
      <c r="F6" s="1"/>
      <c r="G6" s="1"/>
      <c r="H6" s="1"/>
      <c r="I6" s="1"/>
      <c r="J6" s="1"/>
      <c r="K6" s="1"/>
      <c r="L6" s="1"/>
      <c r="M6" s="1"/>
      <c r="N6" s="1"/>
      <c r="O6" s="1"/>
      <c r="P6" s="1"/>
      <c r="Q6" s="1"/>
      <c r="R6" s="1"/>
      <c r="S6" s="1"/>
      <c r="T6" s="1"/>
      <c r="U6" s="1"/>
      <c r="V6" s="1"/>
      <c r="W6" s="1"/>
      <c r="X6" s="1"/>
      <c r="Y6" s="1"/>
      <c r="Z6" s="1"/>
    </row>
    <row r="7" spans="1:26" ht="57.6" x14ac:dyDescent="0.3">
      <c r="A7" s="1"/>
      <c r="B7" s="27" t="s">
        <v>32</v>
      </c>
      <c r="C7" s="27" t="s">
        <v>256</v>
      </c>
      <c r="D7" s="1"/>
      <c r="E7" s="1"/>
      <c r="F7" s="1"/>
      <c r="G7" s="1"/>
      <c r="H7" s="1"/>
      <c r="I7" s="1"/>
      <c r="J7" s="1"/>
      <c r="K7" s="1"/>
      <c r="L7" s="1"/>
      <c r="M7" s="1"/>
      <c r="N7" s="1"/>
      <c r="O7" s="1"/>
      <c r="P7" s="1"/>
      <c r="Q7" s="1"/>
      <c r="R7" s="1"/>
      <c r="S7" s="1"/>
      <c r="T7" s="1"/>
      <c r="U7" s="1"/>
      <c r="V7" s="1"/>
      <c r="W7" s="1"/>
      <c r="X7" s="1"/>
      <c r="Y7" s="1"/>
      <c r="Z7" s="1"/>
    </row>
    <row r="8" spans="1:26" ht="72" x14ac:dyDescent="0.3">
      <c r="A8" s="1"/>
      <c r="B8" s="27" t="s">
        <v>33</v>
      </c>
      <c r="C8" s="27" t="s">
        <v>257</v>
      </c>
      <c r="D8" s="1"/>
      <c r="E8" s="1"/>
      <c r="F8" s="1"/>
      <c r="G8" s="1"/>
      <c r="H8" s="1"/>
      <c r="I8" s="1"/>
      <c r="J8" s="1"/>
      <c r="K8" s="1"/>
      <c r="L8" s="1"/>
      <c r="M8" s="1"/>
      <c r="N8" s="1"/>
      <c r="O8" s="1"/>
      <c r="P8" s="1"/>
      <c r="Q8" s="1"/>
      <c r="R8" s="1"/>
      <c r="S8" s="1"/>
      <c r="T8" s="1"/>
      <c r="U8" s="1"/>
      <c r="V8" s="1"/>
      <c r="W8" s="1"/>
      <c r="X8" s="1"/>
      <c r="Y8" s="1"/>
      <c r="Z8" s="1"/>
    </row>
    <row r="9" spans="1:26" ht="57.6" x14ac:dyDescent="0.3">
      <c r="A9" s="1"/>
      <c r="B9" s="27" t="s">
        <v>34</v>
      </c>
      <c r="C9" s="27" t="s">
        <v>258</v>
      </c>
      <c r="D9" s="1"/>
      <c r="E9" s="1"/>
      <c r="F9" s="1"/>
      <c r="G9" s="1"/>
      <c r="H9" s="1"/>
      <c r="I9" s="1"/>
      <c r="J9" s="1"/>
      <c r="K9" s="1"/>
      <c r="L9" s="1"/>
      <c r="M9" s="1"/>
      <c r="N9" s="1"/>
      <c r="O9" s="1"/>
      <c r="P9" s="1"/>
      <c r="Q9" s="1"/>
      <c r="R9" s="1"/>
      <c r="S9" s="1"/>
      <c r="T9" s="1"/>
      <c r="U9" s="1"/>
      <c r="V9" s="1"/>
      <c r="W9" s="1"/>
      <c r="X9" s="1"/>
      <c r="Y9" s="1"/>
      <c r="Z9" s="1"/>
    </row>
    <row r="10" spans="1:26" ht="43.2" x14ac:dyDescent="0.3">
      <c r="A10" s="1"/>
      <c r="B10" s="27" t="s">
        <v>36</v>
      </c>
      <c r="C10" s="27" t="s">
        <v>259</v>
      </c>
      <c r="D10" s="1"/>
      <c r="E10" s="1"/>
      <c r="F10" s="1"/>
      <c r="G10" s="1"/>
      <c r="H10" s="1"/>
      <c r="I10" s="1"/>
      <c r="J10" s="1"/>
      <c r="K10" s="1"/>
      <c r="L10" s="1"/>
      <c r="M10" s="1"/>
      <c r="N10" s="1"/>
      <c r="O10" s="1"/>
      <c r="P10" s="1"/>
      <c r="Q10" s="1"/>
      <c r="R10" s="1"/>
      <c r="S10" s="1"/>
      <c r="T10" s="1"/>
      <c r="U10" s="1"/>
      <c r="V10" s="1"/>
      <c r="W10" s="1"/>
      <c r="X10" s="1"/>
      <c r="Y10" s="1"/>
      <c r="Z10" s="1"/>
    </row>
    <row r="11" spans="1:26" ht="28.8" x14ac:dyDescent="0.3">
      <c r="A11" s="1"/>
      <c r="B11" s="27" t="s">
        <v>260</v>
      </c>
      <c r="C11" s="27" t="s">
        <v>261</v>
      </c>
      <c r="D11" s="1"/>
      <c r="E11" s="1"/>
      <c r="F11" s="1"/>
      <c r="G11" s="1"/>
      <c r="H11" s="1"/>
      <c r="I11" s="1"/>
      <c r="J11" s="1"/>
      <c r="K11" s="1"/>
      <c r="L11" s="1"/>
      <c r="M11" s="1"/>
      <c r="N11" s="1"/>
      <c r="O11" s="1"/>
      <c r="P11" s="1"/>
      <c r="Q11" s="1"/>
      <c r="R11" s="1"/>
      <c r="S11" s="1"/>
      <c r="T11" s="1"/>
      <c r="U11" s="1"/>
      <c r="V11" s="1"/>
      <c r="W11" s="1"/>
      <c r="X11" s="1"/>
      <c r="Y11" s="1"/>
      <c r="Z11" s="1"/>
    </row>
    <row r="12" spans="1:26" ht="14.4" x14ac:dyDescent="0.3">
      <c r="A12" s="1"/>
      <c r="B12" s="27" t="s">
        <v>37</v>
      </c>
      <c r="C12" s="27" t="s">
        <v>262</v>
      </c>
      <c r="D12" s="1"/>
      <c r="E12" s="1"/>
      <c r="F12" s="1"/>
      <c r="G12" s="1"/>
      <c r="H12" s="1"/>
      <c r="I12" s="1"/>
      <c r="J12" s="1"/>
      <c r="K12" s="1"/>
      <c r="L12" s="1"/>
      <c r="M12" s="1"/>
      <c r="N12" s="1"/>
      <c r="O12" s="1"/>
      <c r="P12" s="1"/>
      <c r="Q12" s="1"/>
      <c r="R12" s="1"/>
      <c r="S12" s="1"/>
      <c r="T12" s="1"/>
      <c r="U12" s="1"/>
      <c r="V12" s="1"/>
      <c r="W12" s="1"/>
      <c r="X12" s="1"/>
      <c r="Y12" s="1"/>
      <c r="Z12" s="1"/>
    </row>
    <row r="13" spans="1:26" ht="43.2" x14ac:dyDescent="0.3">
      <c r="A13" s="1"/>
      <c r="B13" s="27" t="s">
        <v>38</v>
      </c>
      <c r="C13" s="27" t="s">
        <v>263</v>
      </c>
      <c r="D13" s="1"/>
      <c r="E13" s="1"/>
      <c r="F13" s="1"/>
      <c r="G13" s="1"/>
      <c r="H13" s="1"/>
      <c r="I13" s="1"/>
      <c r="J13" s="1"/>
      <c r="K13" s="1"/>
      <c r="L13" s="1"/>
      <c r="M13" s="1"/>
      <c r="N13" s="1"/>
      <c r="O13" s="1"/>
      <c r="P13" s="1"/>
      <c r="Q13" s="1"/>
      <c r="R13" s="1"/>
      <c r="S13" s="1"/>
      <c r="T13" s="1"/>
      <c r="U13" s="1"/>
      <c r="V13" s="1"/>
      <c r="W13" s="1"/>
      <c r="X13" s="1"/>
      <c r="Y13" s="1"/>
      <c r="Z13" s="1"/>
    </row>
    <row r="14" spans="1:26" ht="28.8" x14ac:dyDescent="0.3">
      <c r="A14" s="1"/>
      <c r="B14" s="27" t="s">
        <v>29</v>
      </c>
      <c r="C14" s="27" t="s">
        <v>264</v>
      </c>
      <c r="D14" s="1"/>
      <c r="E14" s="1"/>
      <c r="F14" s="1"/>
      <c r="G14" s="1"/>
      <c r="H14" s="1"/>
      <c r="I14" s="1"/>
      <c r="J14" s="1"/>
      <c r="K14" s="1"/>
      <c r="L14" s="1"/>
      <c r="M14" s="1"/>
      <c r="N14" s="1"/>
      <c r="O14" s="1"/>
      <c r="P14" s="1"/>
      <c r="Q14" s="1"/>
      <c r="R14" s="1"/>
      <c r="S14" s="1"/>
      <c r="T14" s="1"/>
      <c r="U14" s="1"/>
      <c r="V14" s="1"/>
      <c r="W14" s="1"/>
      <c r="X14" s="1"/>
      <c r="Y14" s="1"/>
      <c r="Z14" s="1"/>
    </row>
    <row r="15" spans="1:26" ht="14.4"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4"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4"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4"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4"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4"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scale="68"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Sprint Backlog 0</vt:lpstr>
      <vt:lpstr>Sprint Backlog 1</vt:lpstr>
      <vt:lpstr>Sprint Backlog 2</vt:lpstr>
      <vt:lpstr>Sprint Backlog 3</vt:lpstr>
      <vt:lpstr>Instructivo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ANTONIA CARELIS LIZANA RIVEROS</cp:lastModifiedBy>
  <dcterms:created xsi:type="dcterms:W3CDTF">2012-09-02T03:53:17Z</dcterms:created>
  <dcterms:modified xsi:type="dcterms:W3CDTF">2026-10-12T19:39:01Z</dcterms:modified>
</cp:coreProperties>
</file>